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Saroj\Downloads\"/>
    </mc:Choice>
  </mc:AlternateContent>
  <xr:revisionPtr revIDLastSave="0" documentId="13_ncr:1_{5105AD1F-DA72-4F37-A19D-C326EE103E56}" xr6:coauthVersionLast="47" xr6:coauthVersionMax="47" xr10:uidLastSave="{00000000-0000-0000-0000-000000000000}"/>
  <bookViews>
    <workbookView xWindow="-108" yWindow="-108" windowWidth="23256" windowHeight="12576" tabRatio="818" firstSheet="3" activeTab="10" xr2:uid="{00000000-000D-0000-FFFF-FFFF00000000}"/>
  </bookViews>
  <sheets>
    <sheet name="Sales_Transactions" sheetId="1" r:id="rId1"/>
    <sheet name="Highest Sesonal Sale" sheetId="7" r:id="rId2"/>
    <sheet name="sum amount" sheetId="19" r:id="rId3"/>
    <sheet name="Store contribution" sheetId="9" r:id="rId4"/>
    <sheet name="Employee type" sheetId="10" r:id="rId5"/>
    <sheet name="promo vs noprom" sheetId="11" r:id="rId6"/>
    <sheet name="most valuable custo" sheetId="14" r:id="rId7"/>
    <sheet name="promotion impact" sheetId="15" r:id="rId8"/>
    <sheet name="Dashboard" sheetId="16" r:id="rId9"/>
    <sheet name="monthly_sales" sheetId="20" r:id="rId10"/>
    <sheet name="Transaction_working" sheetId="5" r:id="rId11"/>
  </sheets>
  <externalReferences>
    <externalReference r:id="rId12"/>
  </externalReferences>
  <definedNames>
    <definedName name="_xlnm._FilterDatabase" localSheetId="10" hidden="1">Transaction_working!$A$1:$N$805</definedName>
    <definedName name="_xlcn.WorksheetConnection_Transaction_working3A1M805" hidden="1">'[1]Transaction_working (3)'!$A$1:$M$805</definedName>
    <definedName name="_xlcn.WorksheetConnection_Transaction_working3A1P805" hidden="1">Transaction_working!$A$1:$N$805</definedName>
    <definedName name="Slicer_month">#N/A</definedName>
    <definedName name="Slicer_promo_flag">#N/A</definedName>
    <definedName name="Slicer_StoreID">#N/A</definedName>
  </definedNames>
  <calcPr calcId="191029"/>
  <pivotCaches>
    <pivotCache cacheId="0" r:id="rId13"/>
    <pivotCache cacheId="1" r:id="rId14"/>
    <pivotCache cacheId="2" r:id="rId15"/>
    <pivotCache cacheId="3" r:id="rId16"/>
    <pivotCache cacheId="4" r:id="rId17"/>
    <pivotCache cacheId="5" r:id="rId18"/>
    <pivotCache cacheId="6"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nsaction_working (3)!$A$1:$M$805"/>
          <x15:modelTable id="Range 1" name="Range 1" connection="WorksheetConnection_Transaction_working (3)!$A$1:$P$8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I2" i="5"/>
  <c r="J2" i="5" s="1"/>
  <c r="K2" i="5"/>
  <c r="M2" i="5"/>
  <c r="I3" i="5"/>
  <c r="J3" i="5" s="1"/>
  <c r="K3" i="5"/>
  <c r="M3" i="5"/>
  <c r="I4" i="5"/>
  <c r="J4" i="5" s="1"/>
  <c r="K4" i="5"/>
  <c r="M4" i="5"/>
  <c r="I5" i="5"/>
  <c r="J5" i="5" s="1"/>
  <c r="K5" i="5"/>
  <c r="M5" i="5"/>
  <c r="I6" i="5"/>
  <c r="N6" i="5" s="1"/>
  <c r="K6" i="5"/>
  <c r="M6" i="5"/>
  <c r="I7" i="5"/>
  <c r="N7" i="5" s="1"/>
  <c r="K7" i="5"/>
  <c r="M7" i="5"/>
  <c r="I8" i="5"/>
  <c r="J8" i="5" s="1"/>
  <c r="K8" i="5"/>
  <c r="M8" i="5"/>
  <c r="I9" i="5"/>
  <c r="N9" i="5" s="1"/>
  <c r="K9" i="5"/>
  <c r="I10" i="5"/>
  <c r="J10" i="5" s="1"/>
  <c r="K10" i="5"/>
  <c r="M10" i="5"/>
  <c r="I11" i="5"/>
  <c r="N11" i="5" s="1"/>
  <c r="K11" i="5"/>
  <c r="M11" i="5"/>
  <c r="I12" i="5"/>
  <c r="J12" i="5" s="1"/>
  <c r="K12" i="5"/>
  <c r="M12" i="5"/>
  <c r="I13" i="5"/>
  <c r="J13" i="5" s="1"/>
  <c r="K13" i="5"/>
  <c r="M13" i="5"/>
  <c r="I14" i="5"/>
  <c r="N14" i="5" s="1"/>
  <c r="K14" i="5"/>
  <c r="M14" i="5"/>
  <c r="I15" i="5"/>
  <c r="J15" i="5" s="1"/>
  <c r="K15" i="5"/>
  <c r="M15" i="5"/>
  <c r="I16" i="5"/>
  <c r="N16" i="5" s="1"/>
  <c r="K16" i="5"/>
  <c r="M16" i="5"/>
  <c r="I17" i="5"/>
  <c r="N17" i="5" s="1"/>
  <c r="K17" i="5"/>
  <c r="M17" i="5"/>
  <c r="I18" i="5"/>
  <c r="J18" i="5" s="1"/>
  <c r="K18" i="5"/>
  <c r="M18" i="5"/>
  <c r="I19" i="5"/>
  <c r="J19" i="5" s="1"/>
  <c r="K19" i="5"/>
  <c r="M19" i="5"/>
  <c r="I20" i="5"/>
  <c r="J20" i="5" s="1"/>
  <c r="K20" i="5"/>
  <c r="M20" i="5"/>
  <c r="I21" i="5"/>
  <c r="J21" i="5" s="1"/>
  <c r="K21" i="5"/>
  <c r="M21" i="5"/>
  <c r="I22" i="5"/>
  <c r="N22" i="5" s="1"/>
  <c r="K22" i="5"/>
  <c r="M22" i="5"/>
  <c r="I23" i="5"/>
  <c r="J23" i="5" s="1"/>
  <c r="K23" i="5"/>
  <c r="M23" i="5"/>
  <c r="I24" i="5"/>
  <c r="N24" i="5" s="1"/>
  <c r="K24" i="5"/>
  <c r="M24" i="5"/>
  <c r="I25" i="5"/>
  <c r="N25" i="5" s="1"/>
  <c r="K25" i="5"/>
  <c r="M25" i="5"/>
  <c r="I26" i="5"/>
  <c r="J26" i="5" s="1"/>
  <c r="K26" i="5"/>
  <c r="M26" i="5"/>
  <c r="I27" i="5"/>
  <c r="J27" i="5" s="1"/>
  <c r="K27" i="5"/>
  <c r="M27" i="5"/>
  <c r="I28" i="5"/>
  <c r="J28" i="5" s="1"/>
  <c r="K28" i="5"/>
  <c r="M28" i="5"/>
  <c r="I29" i="5"/>
  <c r="J29" i="5" s="1"/>
  <c r="K29" i="5"/>
  <c r="M29" i="5"/>
  <c r="I30" i="5"/>
  <c r="N30" i="5" s="1"/>
  <c r="K30" i="5"/>
  <c r="M30" i="5"/>
  <c r="I31" i="5"/>
  <c r="J31" i="5" s="1"/>
  <c r="K31" i="5"/>
  <c r="M31" i="5"/>
  <c r="I32" i="5"/>
  <c r="N32" i="5" s="1"/>
  <c r="K32" i="5"/>
  <c r="M32" i="5"/>
  <c r="I33" i="5"/>
  <c r="N33" i="5" s="1"/>
  <c r="K33" i="5"/>
  <c r="M33" i="5"/>
  <c r="I34" i="5"/>
  <c r="J34" i="5" s="1"/>
  <c r="K34" i="5"/>
  <c r="M34" i="5"/>
  <c r="I35" i="5"/>
  <c r="J35" i="5" s="1"/>
  <c r="K35" i="5"/>
  <c r="M35" i="5"/>
  <c r="I36" i="5"/>
  <c r="J36" i="5" s="1"/>
  <c r="K36" i="5"/>
  <c r="M36" i="5"/>
  <c r="I37" i="5"/>
  <c r="J37" i="5" s="1"/>
  <c r="K37" i="5"/>
  <c r="M37" i="5"/>
  <c r="I38" i="5"/>
  <c r="N38" i="5" s="1"/>
  <c r="K38" i="5"/>
  <c r="M38" i="5"/>
  <c r="I39" i="5"/>
  <c r="J39" i="5" s="1"/>
  <c r="K39" i="5"/>
  <c r="M39" i="5"/>
  <c r="I40" i="5"/>
  <c r="N40" i="5" s="1"/>
  <c r="K40" i="5"/>
  <c r="M40" i="5"/>
  <c r="I41" i="5"/>
  <c r="N41" i="5" s="1"/>
  <c r="K41" i="5"/>
  <c r="M41" i="5"/>
  <c r="I42" i="5"/>
  <c r="J42" i="5" s="1"/>
  <c r="K42" i="5"/>
  <c r="M42" i="5"/>
  <c r="I43" i="5"/>
  <c r="N43" i="5" s="1"/>
  <c r="K43" i="5"/>
  <c r="M43" i="5"/>
  <c r="I44" i="5"/>
  <c r="N44" i="5" s="1"/>
  <c r="K44" i="5"/>
  <c r="M44" i="5"/>
  <c r="I45" i="5"/>
  <c r="J45" i="5" s="1"/>
  <c r="K45" i="5"/>
  <c r="M45" i="5"/>
  <c r="I46" i="5"/>
  <c r="N46" i="5" s="1"/>
  <c r="K46" i="5"/>
  <c r="M46" i="5"/>
  <c r="I47" i="5"/>
  <c r="J47" i="5" s="1"/>
  <c r="K47" i="5"/>
  <c r="M47" i="5"/>
  <c r="I48" i="5"/>
  <c r="N48" i="5" s="1"/>
  <c r="K48" i="5"/>
  <c r="M48" i="5"/>
  <c r="I49" i="5"/>
  <c r="N49" i="5" s="1"/>
  <c r="K49" i="5"/>
  <c r="M49" i="5"/>
  <c r="I50" i="5"/>
  <c r="J50" i="5" s="1"/>
  <c r="K50" i="5"/>
  <c r="M50" i="5"/>
  <c r="I51" i="5"/>
  <c r="N51" i="5" s="1"/>
  <c r="K51" i="5"/>
  <c r="M51" i="5"/>
  <c r="I52" i="5"/>
  <c r="N52" i="5" s="1"/>
  <c r="K52" i="5"/>
  <c r="M52" i="5"/>
  <c r="I53" i="5"/>
  <c r="J53" i="5" s="1"/>
  <c r="K53" i="5"/>
  <c r="M53" i="5"/>
  <c r="I54" i="5"/>
  <c r="N54" i="5" s="1"/>
  <c r="K54" i="5"/>
  <c r="M54" i="5"/>
  <c r="I55" i="5"/>
  <c r="J55" i="5" s="1"/>
  <c r="K55" i="5"/>
  <c r="M55" i="5"/>
  <c r="I56" i="5"/>
  <c r="N56" i="5" s="1"/>
  <c r="K56" i="5"/>
  <c r="M56" i="5"/>
  <c r="I57" i="5"/>
  <c r="N57" i="5" s="1"/>
  <c r="K57" i="5"/>
  <c r="M57" i="5"/>
  <c r="I58" i="5"/>
  <c r="J58" i="5" s="1"/>
  <c r="K58" i="5"/>
  <c r="M58" i="5"/>
  <c r="I59" i="5"/>
  <c r="N59" i="5" s="1"/>
  <c r="K59" i="5"/>
  <c r="M59" i="5"/>
  <c r="I60" i="5"/>
  <c r="N60" i="5" s="1"/>
  <c r="K60" i="5"/>
  <c r="M60" i="5"/>
  <c r="I61" i="5"/>
  <c r="J61" i="5" s="1"/>
  <c r="K61" i="5"/>
  <c r="M61" i="5"/>
  <c r="I62" i="5"/>
  <c r="N62" i="5" s="1"/>
  <c r="K62" i="5"/>
  <c r="M62" i="5"/>
  <c r="I63" i="5"/>
  <c r="J63" i="5" s="1"/>
  <c r="K63" i="5"/>
  <c r="M63" i="5"/>
  <c r="I64" i="5"/>
  <c r="J64" i="5" s="1"/>
  <c r="K64" i="5"/>
  <c r="M64" i="5"/>
  <c r="I65" i="5"/>
  <c r="N65" i="5" s="1"/>
  <c r="K65" i="5"/>
  <c r="M65" i="5"/>
  <c r="I66" i="5"/>
  <c r="J66" i="5" s="1"/>
  <c r="K66" i="5"/>
  <c r="M66" i="5"/>
  <c r="I67" i="5"/>
  <c r="N67" i="5" s="1"/>
  <c r="K67" i="5"/>
  <c r="M67" i="5"/>
  <c r="I68" i="5"/>
  <c r="J68" i="5" s="1"/>
  <c r="K68" i="5"/>
  <c r="M68" i="5"/>
  <c r="I69" i="5"/>
  <c r="J69" i="5" s="1"/>
  <c r="K69" i="5"/>
  <c r="M69" i="5"/>
  <c r="I70" i="5"/>
  <c r="N70" i="5" s="1"/>
  <c r="K70" i="5"/>
  <c r="M70" i="5"/>
  <c r="I71" i="5"/>
  <c r="J71" i="5" s="1"/>
  <c r="K71" i="5"/>
  <c r="M71" i="5"/>
  <c r="I72" i="5"/>
  <c r="J72" i="5" s="1"/>
  <c r="K72" i="5"/>
  <c r="M72" i="5"/>
  <c r="I73" i="5"/>
  <c r="N73" i="5" s="1"/>
  <c r="K73" i="5"/>
  <c r="M73" i="5"/>
  <c r="I74" i="5"/>
  <c r="J74" i="5" s="1"/>
  <c r="K74" i="5"/>
  <c r="M74" i="5"/>
  <c r="I75" i="5"/>
  <c r="N75" i="5" s="1"/>
  <c r="K75" i="5"/>
  <c r="M75" i="5"/>
  <c r="I76" i="5"/>
  <c r="J76" i="5" s="1"/>
  <c r="K76" i="5"/>
  <c r="M76" i="5"/>
  <c r="I77" i="5"/>
  <c r="J77" i="5" s="1"/>
  <c r="K77" i="5"/>
  <c r="M77" i="5"/>
  <c r="I78" i="5"/>
  <c r="N78" i="5" s="1"/>
  <c r="K78" i="5"/>
  <c r="M78" i="5"/>
  <c r="I79" i="5"/>
  <c r="J79" i="5" s="1"/>
  <c r="K79" i="5"/>
  <c r="M79" i="5"/>
  <c r="I80" i="5"/>
  <c r="J80" i="5" s="1"/>
  <c r="K80" i="5"/>
  <c r="M80" i="5"/>
  <c r="I81" i="5"/>
  <c r="N81" i="5" s="1"/>
  <c r="K81" i="5"/>
  <c r="M81" i="5"/>
  <c r="I82" i="5"/>
  <c r="J82" i="5" s="1"/>
  <c r="K82" i="5"/>
  <c r="M82" i="5"/>
  <c r="I83" i="5"/>
  <c r="N83" i="5" s="1"/>
  <c r="K83" i="5"/>
  <c r="M83" i="5"/>
  <c r="I84" i="5"/>
  <c r="N84" i="5" s="1"/>
  <c r="K84" i="5"/>
  <c r="M84" i="5"/>
  <c r="I85" i="5"/>
  <c r="J85" i="5" s="1"/>
  <c r="K85" i="5"/>
  <c r="M85" i="5"/>
  <c r="I86" i="5"/>
  <c r="N86" i="5" s="1"/>
  <c r="K86" i="5"/>
  <c r="M86" i="5"/>
  <c r="I87" i="5"/>
  <c r="J87" i="5" s="1"/>
  <c r="K87" i="5"/>
  <c r="M87" i="5"/>
  <c r="I88" i="5"/>
  <c r="J88" i="5" s="1"/>
  <c r="K88" i="5"/>
  <c r="M88" i="5"/>
  <c r="I89" i="5"/>
  <c r="N89" i="5" s="1"/>
  <c r="K89" i="5"/>
  <c r="M89" i="5"/>
  <c r="I90" i="5"/>
  <c r="J90" i="5" s="1"/>
  <c r="K90" i="5"/>
  <c r="M90" i="5"/>
  <c r="I91" i="5"/>
  <c r="N91" i="5" s="1"/>
  <c r="K91" i="5"/>
  <c r="M91" i="5"/>
  <c r="I92" i="5"/>
  <c r="J92" i="5" s="1"/>
  <c r="K92" i="5"/>
  <c r="M92" i="5"/>
  <c r="I93" i="5"/>
  <c r="J93" i="5" s="1"/>
  <c r="K93" i="5"/>
  <c r="M93" i="5"/>
  <c r="I94" i="5"/>
  <c r="N94" i="5" s="1"/>
  <c r="K94" i="5"/>
  <c r="M94" i="5"/>
  <c r="I95" i="5"/>
  <c r="J95" i="5" s="1"/>
  <c r="K95" i="5"/>
  <c r="M95" i="5"/>
  <c r="I96" i="5"/>
  <c r="J96" i="5" s="1"/>
  <c r="K96" i="5"/>
  <c r="M96" i="5"/>
  <c r="I97" i="5"/>
  <c r="N97" i="5" s="1"/>
  <c r="K97" i="5"/>
  <c r="M97" i="5"/>
  <c r="I98" i="5"/>
  <c r="J98" i="5" s="1"/>
  <c r="K98" i="5"/>
  <c r="M98" i="5"/>
  <c r="I99" i="5"/>
  <c r="N99" i="5" s="1"/>
  <c r="K99" i="5"/>
  <c r="M99" i="5"/>
  <c r="I100" i="5"/>
  <c r="N100" i="5" s="1"/>
  <c r="K100" i="5"/>
  <c r="M100" i="5"/>
  <c r="I101" i="5"/>
  <c r="J101" i="5" s="1"/>
  <c r="K101" i="5"/>
  <c r="M101" i="5"/>
  <c r="I102" i="5"/>
  <c r="N102" i="5" s="1"/>
  <c r="K102" i="5"/>
  <c r="M102" i="5"/>
  <c r="I103" i="5"/>
  <c r="J103" i="5" s="1"/>
  <c r="K103" i="5"/>
  <c r="M103" i="5"/>
  <c r="I104" i="5"/>
  <c r="N104" i="5" s="1"/>
  <c r="K104" i="5"/>
  <c r="M104" i="5"/>
  <c r="I105" i="5"/>
  <c r="N105" i="5" s="1"/>
  <c r="K105" i="5"/>
  <c r="M105" i="5"/>
  <c r="I106" i="5"/>
  <c r="J106" i="5" s="1"/>
  <c r="K106" i="5"/>
  <c r="M106" i="5"/>
  <c r="I107" i="5"/>
  <c r="N107" i="5" s="1"/>
  <c r="K107" i="5"/>
  <c r="M107" i="5"/>
  <c r="I108" i="5"/>
  <c r="N108" i="5" s="1"/>
  <c r="K108" i="5"/>
  <c r="M108" i="5"/>
  <c r="I109" i="5"/>
  <c r="J109" i="5" s="1"/>
  <c r="K109" i="5"/>
  <c r="M109" i="5"/>
  <c r="I110" i="5"/>
  <c r="N110" i="5" s="1"/>
  <c r="K110" i="5"/>
  <c r="M110" i="5"/>
  <c r="I111" i="5"/>
  <c r="J111" i="5" s="1"/>
  <c r="K111" i="5"/>
  <c r="M111" i="5"/>
  <c r="I112" i="5"/>
  <c r="N112" i="5" s="1"/>
  <c r="K112" i="5"/>
  <c r="M112" i="5"/>
  <c r="I113" i="5"/>
  <c r="N113" i="5" s="1"/>
  <c r="K113" i="5"/>
  <c r="M113" i="5"/>
  <c r="I114" i="5"/>
  <c r="J114" i="5" s="1"/>
  <c r="K114" i="5"/>
  <c r="M114" i="5"/>
  <c r="I115" i="5"/>
  <c r="N115" i="5" s="1"/>
  <c r="K115" i="5"/>
  <c r="M115" i="5"/>
  <c r="I116" i="5"/>
  <c r="N116" i="5" s="1"/>
  <c r="K116" i="5"/>
  <c r="M116" i="5"/>
  <c r="I117" i="5"/>
  <c r="J117" i="5" s="1"/>
  <c r="K117" i="5"/>
  <c r="M117" i="5"/>
  <c r="I118" i="5"/>
  <c r="N118" i="5" s="1"/>
  <c r="K118" i="5"/>
  <c r="M118" i="5"/>
  <c r="I119" i="5"/>
  <c r="J119" i="5" s="1"/>
  <c r="K119" i="5"/>
  <c r="M119" i="5"/>
  <c r="I120" i="5"/>
  <c r="J120" i="5" s="1"/>
  <c r="K120" i="5"/>
  <c r="M120" i="5"/>
  <c r="I121" i="5"/>
  <c r="N121" i="5" s="1"/>
  <c r="K121" i="5"/>
  <c r="M121" i="5"/>
  <c r="I122" i="5"/>
  <c r="J122" i="5" s="1"/>
  <c r="K122" i="5"/>
  <c r="M122" i="5"/>
  <c r="I123" i="5"/>
  <c r="N123" i="5" s="1"/>
  <c r="K123" i="5"/>
  <c r="M123" i="5"/>
  <c r="I124" i="5"/>
  <c r="N124" i="5" s="1"/>
  <c r="K124" i="5"/>
  <c r="M124" i="5"/>
  <c r="I125" i="5"/>
  <c r="J125" i="5" s="1"/>
  <c r="K125" i="5"/>
  <c r="M125" i="5"/>
  <c r="I126" i="5"/>
  <c r="N126" i="5" s="1"/>
  <c r="K126" i="5"/>
  <c r="M126" i="5"/>
  <c r="I127" i="5"/>
  <c r="J127" i="5" s="1"/>
  <c r="K127" i="5"/>
  <c r="M127" i="5"/>
  <c r="I128" i="5"/>
  <c r="N128" i="5" s="1"/>
  <c r="K128" i="5"/>
  <c r="M128" i="5"/>
  <c r="I129" i="5"/>
  <c r="N129" i="5" s="1"/>
  <c r="K129" i="5"/>
  <c r="M129" i="5"/>
  <c r="I130" i="5"/>
  <c r="J130" i="5" s="1"/>
  <c r="K130" i="5"/>
  <c r="M130" i="5"/>
  <c r="I131" i="5"/>
  <c r="N131" i="5" s="1"/>
  <c r="K131" i="5"/>
  <c r="M131" i="5"/>
  <c r="I132" i="5"/>
  <c r="J132" i="5" s="1"/>
  <c r="K132" i="5"/>
  <c r="M132" i="5"/>
  <c r="I133" i="5"/>
  <c r="J133" i="5" s="1"/>
  <c r="K133" i="5"/>
  <c r="M133" i="5"/>
  <c r="I134" i="5"/>
  <c r="N134" i="5" s="1"/>
  <c r="K134" i="5"/>
  <c r="M134" i="5"/>
  <c r="I135" i="5"/>
  <c r="J135" i="5" s="1"/>
  <c r="K135" i="5"/>
  <c r="M135" i="5"/>
  <c r="I136" i="5"/>
  <c r="J136" i="5" s="1"/>
  <c r="K136" i="5"/>
  <c r="M136" i="5"/>
  <c r="I137" i="5"/>
  <c r="N137" i="5" s="1"/>
  <c r="K137" i="5"/>
  <c r="M137" i="5"/>
  <c r="I138" i="5"/>
  <c r="J138" i="5" s="1"/>
  <c r="K138" i="5"/>
  <c r="M138" i="5"/>
  <c r="I139" i="5"/>
  <c r="N139" i="5" s="1"/>
  <c r="K139" i="5"/>
  <c r="M139" i="5"/>
  <c r="I140" i="5"/>
  <c r="J140" i="5" s="1"/>
  <c r="K140" i="5"/>
  <c r="M140" i="5"/>
  <c r="I141" i="5"/>
  <c r="J141" i="5" s="1"/>
  <c r="K141" i="5"/>
  <c r="M141" i="5"/>
  <c r="I142" i="5"/>
  <c r="N142" i="5" s="1"/>
  <c r="K142" i="5"/>
  <c r="M142" i="5"/>
  <c r="I143" i="5"/>
  <c r="J143" i="5" s="1"/>
  <c r="K143" i="5"/>
  <c r="M143" i="5"/>
  <c r="I144" i="5"/>
  <c r="J144" i="5" s="1"/>
  <c r="K144" i="5"/>
  <c r="M144" i="5"/>
  <c r="I145" i="5"/>
  <c r="N145" i="5" s="1"/>
  <c r="K145" i="5"/>
  <c r="M145" i="5"/>
  <c r="I146" i="5"/>
  <c r="J146" i="5" s="1"/>
  <c r="K146" i="5"/>
  <c r="M146" i="5"/>
  <c r="I147" i="5"/>
  <c r="N147" i="5" s="1"/>
  <c r="K147" i="5"/>
  <c r="M147" i="5"/>
  <c r="I148" i="5"/>
  <c r="J148" i="5" s="1"/>
  <c r="K148" i="5"/>
  <c r="M148" i="5"/>
  <c r="I149" i="5"/>
  <c r="J149" i="5" s="1"/>
  <c r="K149" i="5"/>
  <c r="M149" i="5"/>
  <c r="I150" i="5"/>
  <c r="N150" i="5" s="1"/>
  <c r="K150" i="5"/>
  <c r="M150" i="5"/>
  <c r="I151" i="5"/>
  <c r="J151" i="5" s="1"/>
  <c r="K151" i="5"/>
  <c r="M151" i="5"/>
  <c r="I152" i="5"/>
  <c r="J152" i="5" s="1"/>
  <c r="K152" i="5"/>
  <c r="M152" i="5"/>
  <c r="I153" i="5"/>
  <c r="N153" i="5" s="1"/>
  <c r="K153" i="5"/>
  <c r="M153" i="5"/>
  <c r="I154" i="5"/>
  <c r="J154" i="5" s="1"/>
  <c r="K154" i="5"/>
  <c r="M154" i="5"/>
  <c r="I155" i="5"/>
  <c r="N155" i="5" s="1"/>
  <c r="K155" i="5"/>
  <c r="M155" i="5"/>
  <c r="I156" i="5"/>
  <c r="J156" i="5" s="1"/>
  <c r="K156" i="5"/>
  <c r="M156" i="5"/>
  <c r="I157" i="5"/>
  <c r="J157" i="5" s="1"/>
  <c r="K157" i="5"/>
  <c r="M157" i="5"/>
  <c r="I158" i="5"/>
  <c r="N158" i="5" s="1"/>
  <c r="K158" i="5"/>
  <c r="M158" i="5"/>
  <c r="I159" i="5"/>
  <c r="J159" i="5" s="1"/>
  <c r="K159" i="5"/>
  <c r="M159" i="5"/>
  <c r="I160" i="5"/>
  <c r="J160" i="5" s="1"/>
  <c r="K160" i="5"/>
  <c r="M160" i="5"/>
  <c r="I161" i="5"/>
  <c r="N161" i="5" s="1"/>
  <c r="K161" i="5"/>
  <c r="M161" i="5"/>
  <c r="I162" i="5"/>
  <c r="J162" i="5" s="1"/>
  <c r="K162" i="5"/>
  <c r="M162" i="5"/>
  <c r="I163" i="5"/>
  <c r="N163" i="5" s="1"/>
  <c r="K163" i="5"/>
  <c r="M163" i="5"/>
  <c r="I164" i="5"/>
  <c r="J164" i="5" s="1"/>
  <c r="K164" i="5"/>
  <c r="M164" i="5"/>
  <c r="I165" i="5"/>
  <c r="J165" i="5" s="1"/>
  <c r="K165" i="5"/>
  <c r="M165" i="5"/>
  <c r="I166" i="5"/>
  <c r="N166" i="5" s="1"/>
  <c r="K166" i="5"/>
  <c r="M166" i="5"/>
  <c r="I167" i="5"/>
  <c r="J167" i="5" s="1"/>
  <c r="K167" i="5"/>
  <c r="M167" i="5"/>
  <c r="I168" i="5"/>
  <c r="N168" i="5" s="1"/>
  <c r="K168" i="5"/>
  <c r="M168" i="5"/>
  <c r="I169" i="5"/>
  <c r="N169" i="5" s="1"/>
  <c r="K169" i="5"/>
  <c r="M169" i="5"/>
  <c r="I170" i="5"/>
  <c r="J170" i="5" s="1"/>
  <c r="K170" i="5"/>
  <c r="M170" i="5"/>
  <c r="I171" i="5"/>
  <c r="N171" i="5" s="1"/>
  <c r="K171" i="5"/>
  <c r="M171" i="5"/>
  <c r="I172" i="5"/>
  <c r="N172" i="5" s="1"/>
  <c r="K172" i="5"/>
  <c r="M172" i="5"/>
  <c r="I173" i="5"/>
  <c r="J173" i="5" s="1"/>
  <c r="K173" i="5"/>
  <c r="M173" i="5"/>
  <c r="I174" i="5"/>
  <c r="N174" i="5" s="1"/>
  <c r="K174" i="5"/>
  <c r="M174" i="5"/>
  <c r="I175" i="5"/>
  <c r="J175" i="5" s="1"/>
  <c r="K175" i="5"/>
  <c r="M175" i="5"/>
  <c r="I176" i="5"/>
  <c r="N176" i="5" s="1"/>
  <c r="K176" i="5"/>
  <c r="M176" i="5"/>
  <c r="I177" i="5"/>
  <c r="N177" i="5" s="1"/>
  <c r="K177" i="5"/>
  <c r="M177" i="5"/>
  <c r="I178" i="5"/>
  <c r="J178" i="5" s="1"/>
  <c r="K178" i="5"/>
  <c r="M178" i="5"/>
  <c r="I179" i="5"/>
  <c r="N179" i="5" s="1"/>
  <c r="K179" i="5"/>
  <c r="M179" i="5"/>
  <c r="I180" i="5"/>
  <c r="N180" i="5" s="1"/>
  <c r="K180" i="5"/>
  <c r="M180" i="5"/>
  <c r="I181" i="5"/>
  <c r="J181" i="5" s="1"/>
  <c r="K181" i="5"/>
  <c r="M181" i="5"/>
  <c r="I182" i="5"/>
  <c r="N182" i="5" s="1"/>
  <c r="K182" i="5"/>
  <c r="M182" i="5"/>
  <c r="I183" i="5"/>
  <c r="J183" i="5" s="1"/>
  <c r="K183" i="5"/>
  <c r="M183" i="5"/>
  <c r="I184" i="5"/>
  <c r="N184" i="5" s="1"/>
  <c r="K184" i="5"/>
  <c r="M184" i="5"/>
  <c r="I185" i="5"/>
  <c r="N185" i="5" s="1"/>
  <c r="K185" i="5"/>
  <c r="M185" i="5"/>
  <c r="I186" i="5"/>
  <c r="J186" i="5" s="1"/>
  <c r="K186" i="5"/>
  <c r="M186" i="5"/>
  <c r="I187" i="5"/>
  <c r="N187" i="5" s="1"/>
  <c r="K187" i="5"/>
  <c r="M187" i="5"/>
  <c r="I188" i="5"/>
  <c r="N188" i="5" s="1"/>
  <c r="K188" i="5"/>
  <c r="M188" i="5"/>
  <c r="I189" i="5"/>
  <c r="J189" i="5" s="1"/>
  <c r="K189" i="5"/>
  <c r="M189" i="5"/>
  <c r="I190" i="5"/>
  <c r="N190" i="5" s="1"/>
  <c r="K190" i="5"/>
  <c r="M190" i="5"/>
  <c r="I191" i="5"/>
  <c r="K191" i="5"/>
  <c r="M191" i="5"/>
  <c r="I192" i="5"/>
  <c r="N192" i="5" s="1"/>
  <c r="K192" i="5"/>
  <c r="M192" i="5"/>
  <c r="I193" i="5"/>
  <c r="N193" i="5" s="1"/>
  <c r="K193" i="5"/>
  <c r="M193" i="5"/>
  <c r="I194" i="5"/>
  <c r="J194" i="5" s="1"/>
  <c r="K194" i="5"/>
  <c r="M194" i="5"/>
  <c r="I195" i="5"/>
  <c r="N195" i="5" s="1"/>
  <c r="K195" i="5"/>
  <c r="M195" i="5"/>
  <c r="I196" i="5"/>
  <c r="J196" i="5" s="1"/>
  <c r="K196" i="5"/>
  <c r="M196" i="5"/>
  <c r="I197" i="5"/>
  <c r="J197" i="5" s="1"/>
  <c r="K197" i="5"/>
  <c r="M197" i="5"/>
  <c r="I198" i="5"/>
  <c r="N198" i="5" s="1"/>
  <c r="K198" i="5"/>
  <c r="M198" i="5"/>
  <c r="I199" i="5"/>
  <c r="K199" i="5"/>
  <c r="M199" i="5"/>
  <c r="I200" i="5"/>
  <c r="J200" i="5" s="1"/>
  <c r="K200" i="5"/>
  <c r="M200" i="5"/>
  <c r="I201" i="5"/>
  <c r="N201" i="5" s="1"/>
  <c r="K201" i="5"/>
  <c r="M201" i="5"/>
  <c r="I202" i="5"/>
  <c r="J202" i="5" s="1"/>
  <c r="K202" i="5"/>
  <c r="M202" i="5"/>
  <c r="I203" i="5"/>
  <c r="N203" i="5" s="1"/>
  <c r="K203" i="5"/>
  <c r="M203" i="5"/>
  <c r="I204" i="5"/>
  <c r="J204" i="5" s="1"/>
  <c r="K204" i="5"/>
  <c r="M204" i="5"/>
  <c r="I205" i="5"/>
  <c r="J205" i="5" s="1"/>
  <c r="K205" i="5"/>
  <c r="M205" i="5"/>
  <c r="I206" i="5"/>
  <c r="N206" i="5" s="1"/>
  <c r="K206" i="5"/>
  <c r="M206" i="5"/>
  <c r="I207" i="5"/>
  <c r="K207" i="5"/>
  <c r="M207" i="5"/>
  <c r="I208" i="5"/>
  <c r="J208" i="5" s="1"/>
  <c r="K208" i="5"/>
  <c r="M208" i="5"/>
  <c r="I209" i="5"/>
  <c r="K209" i="5"/>
  <c r="M209" i="5"/>
  <c r="I210" i="5"/>
  <c r="J210" i="5" s="1"/>
  <c r="K210" i="5"/>
  <c r="M210" i="5"/>
  <c r="I211" i="5"/>
  <c r="N211" i="5" s="1"/>
  <c r="K211" i="5"/>
  <c r="M211" i="5"/>
  <c r="I212" i="5"/>
  <c r="J212" i="5" s="1"/>
  <c r="K212" i="5"/>
  <c r="M212" i="5"/>
  <c r="I213" i="5"/>
  <c r="K213" i="5"/>
  <c r="M213" i="5"/>
  <c r="I214" i="5"/>
  <c r="N214" i="5" s="1"/>
  <c r="K214" i="5"/>
  <c r="M214" i="5"/>
  <c r="I215" i="5"/>
  <c r="K215" i="5"/>
  <c r="M215" i="5"/>
  <c r="I216" i="5"/>
  <c r="K216" i="5"/>
  <c r="M216" i="5"/>
  <c r="I217" i="5"/>
  <c r="N217" i="5" s="1"/>
  <c r="K217" i="5"/>
  <c r="M217" i="5"/>
  <c r="I218" i="5"/>
  <c r="J218" i="5" s="1"/>
  <c r="K218" i="5"/>
  <c r="M218" i="5"/>
  <c r="I219" i="5"/>
  <c r="N219" i="5" s="1"/>
  <c r="K219" i="5"/>
  <c r="M219" i="5"/>
  <c r="I220" i="5"/>
  <c r="K220" i="5"/>
  <c r="M220" i="5"/>
  <c r="I221" i="5"/>
  <c r="J221" i="5" s="1"/>
  <c r="K221" i="5"/>
  <c r="M221" i="5"/>
  <c r="I222" i="5"/>
  <c r="N222" i="5" s="1"/>
  <c r="K222" i="5"/>
  <c r="M222" i="5"/>
  <c r="I223" i="5"/>
  <c r="K223" i="5"/>
  <c r="M223" i="5"/>
  <c r="I224" i="5"/>
  <c r="J224" i="5" s="1"/>
  <c r="K224" i="5"/>
  <c r="M224" i="5"/>
  <c r="I225" i="5"/>
  <c r="N225" i="5" s="1"/>
  <c r="K225" i="5"/>
  <c r="M225" i="5"/>
  <c r="I226" i="5"/>
  <c r="J226" i="5" s="1"/>
  <c r="K226" i="5"/>
  <c r="M226" i="5"/>
  <c r="I227" i="5"/>
  <c r="N227" i="5" s="1"/>
  <c r="K227" i="5"/>
  <c r="M227" i="5"/>
  <c r="I228" i="5"/>
  <c r="N228" i="5" s="1"/>
  <c r="K228" i="5"/>
  <c r="M228" i="5"/>
  <c r="I229" i="5"/>
  <c r="J229" i="5" s="1"/>
  <c r="K229" i="5"/>
  <c r="M229" i="5"/>
  <c r="I230" i="5"/>
  <c r="N230" i="5" s="1"/>
  <c r="K230" i="5"/>
  <c r="M230" i="5"/>
  <c r="I231" i="5"/>
  <c r="K231" i="5"/>
  <c r="M231" i="5"/>
  <c r="I232" i="5"/>
  <c r="N232" i="5" s="1"/>
  <c r="K232" i="5"/>
  <c r="M232" i="5"/>
  <c r="I233" i="5"/>
  <c r="N233" i="5" s="1"/>
  <c r="K233" i="5"/>
  <c r="M233" i="5"/>
  <c r="I234" i="5"/>
  <c r="J234" i="5" s="1"/>
  <c r="K234" i="5"/>
  <c r="M234" i="5"/>
  <c r="I235" i="5"/>
  <c r="N235" i="5" s="1"/>
  <c r="K235" i="5"/>
  <c r="M235" i="5"/>
  <c r="I236" i="5"/>
  <c r="N236" i="5" s="1"/>
  <c r="K236" i="5"/>
  <c r="M236" i="5"/>
  <c r="I237" i="5"/>
  <c r="J237" i="5" s="1"/>
  <c r="K237" i="5"/>
  <c r="M237" i="5"/>
  <c r="I238" i="5"/>
  <c r="N238" i="5" s="1"/>
  <c r="K238" i="5"/>
  <c r="M238" i="5"/>
  <c r="I239" i="5"/>
  <c r="K239" i="5"/>
  <c r="M239" i="5"/>
  <c r="I240" i="5"/>
  <c r="J240" i="5" s="1"/>
  <c r="K240" i="5"/>
  <c r="M240" i="5"/>
  <c r="I241" i="5"/>
  <c r="N241" i="5" s="1"/>
  <c r="K241" i="5"/>
  <c r="M241" i="5"/>
  <c r="I242" i="5"/>
  <c r="J242" i="5" s="1"/>
  <c r="K242" i="5"/>
  <c r="M242" i="5"/>
  <c r="I243" i="5"/>
  <c r="N243" i="5" s="1"/>
  <c r="K243" i="5"/>
  <c r="M243" i="5"/>
  <c r="I244" i="5"/>
  <c r="J244" i="5" s="1"/>
  <c r="K244" i="5"/>
  <c r="M244" i="5"/>
  <c r="I245" i="5"/>
  <c r="J245" i="5" s="1"/>
  <c r="K245" i="5"/>
  <c r="M245" i="5"/>
  <c r="I246" i="5"/>
  <c r="N246" i="5" s="1"/>
  <c r="K246" i="5"/>
  <c r="M246" i="5"/>
  <c r="I247" i="5"/>
  <c r="K247" i="5"/>
  <c r="M247" i="5"/>
  <c r="I248" i="5"/>
  <c r="J248" i="5" s="1"/>
  <c r="K248" i="5"/>
  <c r="M248" i="5"/>
  <c r="I249" i="5"/>
  <c r="K249" i="5"/>
  <c r="M249" i="5"/>
  <c r="I250" i="5"/>
  <c r="J250" i="5" s="1"/>
  <c r="K250" i="5"/>
  <c r="M250" i="5"/>
  <c r="I251" i="5"/>
  <c r="N251" i="5" s="1"/>
  <c r="K251" i="5"/>
  <c r="M251" i="5"/>
  <c r="I252" i="5"/>
  <c r="K252" i="5"/>
  <c r="M252" i="5"/>
  <c r="I253" i="5"/>
  <c r="J253" i="5" s="1"/>
  <c r="K253" i="5"/>
  <c r="M253" i="5"/>
  <c r="I254" i="5"/>
  <c r="N254" i="5" s="1"/>
  <c r="K254" i="5"/>
  <c r="M254" i="5"/>
  <c r="I255" i="5"/>
  <c r="K255" i="5"/>
  <c r="M255" i="5"/>
  <c r="I256" i="5"/>
  <c r="J256" i="5" s="1"/>
  <c r="K256" i="5"/>
  <c r="M256" i="5"/>
  <c r="I257" i="5"/>
  <c r="N257" i="5" s="1"/>
  <c r="K257" i="5"/>
  <c r="M257" i="5"/>
  <c r="I258" i="5"/>
  <c r="J258" i="5" s="1"/>
  <c r="K258" i="5"/>
  <c r="M258" i="5"/>
  <c r="I259" i="5"/>
  <c r="N259" i="5" s="1"/>
  <c r="K259" i="5"/>
  <c r="M259" i="5"/>
  <c r="I260" i="5"/>
  <c r="N260" i="5" s="1"/>
  <c r="K260" i="5"/>
  <c r="M260" i="5"/>
  <c r="I261" i="5"/>
  <c r="J261" i="5" s="1"/>
  <c r="K261" i="5"/>
  <c r="M261" i="5"/>
  <c r="I262" i="5"/>
  <c r="N262" i="5" s="1"/>
  <c r="K262" i="5"/>
  <c r="M262" i="5"/>
  <c r="I263" i="5"/>
  <c r="K263" i="5"/>
  <c r="M263" i="5"/>
  <c r="I264" i="5"/>
  <c r="N264" i="5" s="1"/>
  <c r="K264" i="5"/>
  <c r="M264" i="5"/>
  <c r="I265" i="5"/>
  <c r="N265" i="5" s="1"/>
  <c r="K265" i="5"/>
  <c r="M265" i="5"/>
  <c r="I266" i="5"/>
  <c r="J266" i="5" s="1"/>
  <c r="K266" i="5"/>
  <c r="M266" i="5"/>
  <c r="I267" i="5"/>
  <c r="N267" i="5" s="1"/>
  <c r="K267" i="5"/>
  <c r="M267" i="5"/>
  <c r="I268" i="5"/>
  <c r="N268" i="5" s="1"/>
  <c r="K268" i="5"/>
  <c r="M268" i="5"/>
  <c r="I269" i="5"/>
  <c r="J269" i="5" s="1"/>
  <c r="K269" i="5"/>
  <c r="M269" i="5"/>
  <c r="I270" i="5"/>
  <c r="N270" i="5" s="1"/>
  <c r="K270" i="5"/>
  <c r="M270" i="5"/>
  <c r="I271" i="5"/>
  <c r="K271" i="5"/>
  <c r="M271" i="5"/>
  <c r="I272" i="5"/>
  <c r="J272" i="5" s="1"/>
  <c r="K272" i="5"/>
  <c r="M272" i="5"/>
  <c r="I273" i="5"/>
  <c r="N273" i="5" s="1"/>
  <c r="K273" i="5"/>
  <c r="M273" i="5"/>
  <c r="I274" i="5"/>
  <c r="J274" i="5" s="1"/>
  <c r="K274" i="5"/>
  <c r="M274" i="5"/>
  <c r="I275" i="5"/>
  <c r="N275" i="5" s="1"/>
  <c r="K275" i="5"/>
  <c r="M275" i="5"/>
  <c r="I276" i="5"/>
  <c r="J276" i="5" s="1"/>
  <c r="K276" i="5"/>
  <c r="M276" i="5"/>
  <c r="I277" i="5"/>
  <c r="J277" i="5" s="1"/>
  <c r="K277" i="5"/>
  <c r="M277" i="5"/>
  <c r="I278" i="5"/>
  <c r="N278" i="5" s="1"/>
  <c r="K278" i="5"/>
  <c r="M278" i="5"/>
  <c r="I279" i="5"/>
  <c r="K279" i="5"/>
  <c r="M279" i="5"/>
  <c r="I280" i="5"/>
  <c r="J280" i="5" s="1"/>
  <c r="K280" i="5"/>
  <c r="M280" i="5"/>
  <c r="I281" i="5"/>
  <c r="K281" i="5"/>
  <c r="M281" i="5"/>
  <c r="I282" i="5"/>
  <c r="J282" i="5" s="1"/>
  <c r="K282" i="5"/>
  <c r="M282" i="5"/>
  <c r="I283" i="5"/>
  <c r="N283" i="5" s="1"/>
  <c r="K283" i="5"/>
  <c r="M283" i="5"/>
  <c r="I284" i="5"/>
  <c r="K284" i="5"/>
  <c r="M284" i="5"/>
  <c r="I285" i="5"/>
  <c r="J285" i="5" s="1"/>
  <c r="K285" i="5"/>
  <c r="M285" i="5"/>
  <c r="I286" i="5"/>
  <c r="N286" i="5" s="1"/>
  <c r="K286" i="5"/>
  <c r="M286" i="5"/>
  <c r="I287" i="5"/>
  <c r="K287" i="5"/>
  <c r="M287" i="5"/>
  <c r="I288" i="5"/>
  <c r="N288" i="5" s="1"/>
  <c r="K288" i="5"/>
  <c r="M288" i="5"/>
  <c r="I289" i="5"/>
  <c r="N289" i="5" s="1"/>
  <c r="K289" i="5"/>
  <c r="M289" i="5"/>
  <c r="I290" i="5"/>
  <c r="J290" i="5" s="1"/>
  <c r="K290" i="5"/>
  <c r="M290" i="5"/>
  <c r="I291" i="5"/>
  <c r="K291" i="5"/>
  <c r="M291" i="5"/>
  <c r="I292" i="5"/>
  <c r="N292" i="5" s="1"/>
  <c r="K292" i="5"/>
  <c r="M292" i="5"/>
  <c r="I293" i="5"/>
  <c r="J293" i="5" s="1"/>
  <c r="K293" i="5"/>
  <c r="M293" i="5"/>
  <c r="I294" i="5"/>
  <c r="N294" i="5" s="1"/>
  <c r="K294" i="5"/>
  <c r="M294" i="5"/>
  <c r="I295" i="5"/>
  <c r="K295" i="5"/>
  <c r="M295" i="5"/>
  <c r="I296" i="5"/>
  <c r="N296" i="5" s="1"/>
  <c r="K296" i="5"/>
  <c r="M296" i="5"/>
  <c r="I297" i="5"/>
  <c r="N297" i="5" s="1"/>
  <c r="K297" i="5"/>
  <c r="M297" i="5"/>
  <c r="I298" i="5"/>
  <c r="K298" i="5"/>
  <c r="M298" i="5"/>
  <c r="I299" i="5"/>
  <c r="N299" i="5" s="1"/>
  <c r="K299" i="5"/>
  <c r="M299" i="5"/>
  <c r="I300" i="5"/>
  <c r="N300" i="5" s="1"/>
  <c r="K300" i="5"/>
  <c r="M300" i="5"/>
  <c r="I301" i="5"/>
  <c r="J301" i="5" s="1"/>
  <c r="K301" i="5"/>
  <c r="M301" i="5"/>
  <c r="I302" i="5"/>
  <c r="N302" i="5" s="1"/>
  <c r="K302" i="5"/>
  <c r="M302" i="5"/>
  <c r="I303" i="5"/>
  <c r="J303" i="5" s="1"/>
  <c r="K303" i="5"/>
  <c r="M303" i="5"/>
  <c r="I304" i="5"/>
  <c r="N304" i="5" s="1"/>
  <c r="K304" i="5"/>
  <c r="M304" i="5"/>
  <c r="I305" i="5"/>
  <c r="N305" i="5" s="1"/>
  <c r="K305" i="5"/>
  <c r="M305" i="5"/>
  <c r="I306" i="5"/>
  <c r="K306" i="5"/>
  <c r="M306" i="5"/>
  <c r="I307" i="5"/>
  <c r="N307" i="5" s="1"/>
  <c r="K307" i="5"/>
  <c r="M307" i="5"/>
  <c r="I308" i="5"/>
  <c r="N308" i="5" s="1"/>
  <c r="K308" i="5"/>
  <c r="M308" i="5"/>
  <c r="I309" i="5"/>
  <c r="J309" i="5" s="1"/>
  <c r="K309" i="5"/>
  <c r="M309" i="5"/>
  <c r="I310" i="5"/>
  <c r="N310" i="5" s="1"/>
  <c r="K310" i="5"/>
  <c r="M310" i="5"/>
  <c r="I311" i="5"/>
  <c r="J311" i="5" s="1"/>
  <c r="K311" i="5"/>
  <c r="M311" i="5"/>
  <c r="I312" i="5"/>
  <c r="N312" i="5" s="1"/>
  <c r="K312" i="5"/>
  <c r="M312" i="5"/>
  <c r="I313" i="5"/>
  <c r="N313" i="5" s="1"/>
  <c r="K313" i="5"/>
  <c r="M313" i="5"/>
  <c r="I314" i="5"/>
  <c r="K314" i="5"/>
  <c r="M314" i="5"/>
  <c r="I315" i="5"/>
  <c r="N315" i="5" s="1"/>
  <c r="K315" i="5"/>
  <c r="M315" i="5"/>
  <c r="I316" i="5"/>
  <c r="N316" i="5" s="1"/>
  <c r="K316" i="5"/>
  <c r="M316" i="5"/>
  <c r="I317" i="5"/>
  <c r="J317" i="5" s="1"/>
  <c r="K317" i="5"/>
  <c r="M317" i="5"/>
  <c r="I318" i="5"/>
  <c r="N318" i="5" s="1"/>
  <c r="K318" i="5"/>
  <c r="M318" i="5"/>
  <c r="I319" i="5"/>
  <c r="J319" i="5" s="1"/>
  <c r="K319" i="5"/>
  <c r="M319" i="5"/>
  <c r="I320" i="5"/>
  <c r="N320" i="5" s="1"/>
  <c r="K320" i="5"/>
  <c r="M320" i="5"/>
  <c r="I321" i="5"/>
  <c r="N321" i="5" s="1"/>
  <c r="K321" i="5"/>
  <c r="M321" i="5"/>
  <c r="I322" i="5"/>
  <c r="K322" i="5"/>
  <c r="M322" i="5"/>
  <c r="I323" i="5"/>
  <c r="N323" i="5" s="1"/>
  <c r="K323" i="5"/>
  <c r="M323" i="5"/>
  <c r="I324" i="5"/>
  <c r="N324" i="5" s="1"/>
  <c r="K324" i="5"/>
  <c r="M324" i="5"/>
  <c r="I325" i="5"/>
  <c r="J325" i="5" s="1"/>
  <c r="K325" i="5"/>
  <c r="M325" i="5"/>
  <c r="I326" i="5"/>
  <c r="N326" i="5" s="1"/>
  <c r="K326" i="5"/>
  <c r="M326" i="5"/>
  <c r="I327" i="5"/>
  <c r="J327" i="5" s="1"/>
  <c r="K327" i="5"/>
  <c r="M327" i="5"/>
  <c r="I328" i="5"/>
  <c r="N328" i="5" s="1"/>
  <c r="K328" i="5"/>
  <c r="M328" i="5"/>
  <c r="I329" i="5"/>
  <c r="N329" i="5" s="1"/>
  <c r="K329" i="5"/>
  <c r="M329" i="5"/>
  <c r="I330" i="5"/>
  <c r="J330" i="5" s="1"/>
  <c r="K330" i="5"/>
  <c r="M330" i="5"/>
  <c r="I331" i="5"/>
  <c r="K331" i="5"/>
  <c r="M331" i="5"/>
  <c r="I332" i="5"/>
  <c r="N332" i="5" s="1"/>
  <c r="K332" i="5"/>
  <c r="M332" i="5"/>
  <c r="I333" i="5"/>
  <c r="J333" i="5" s="1"/>
  <c r="K333" i="5"/>
  <c r="M333" i="5"/>
  <c r="I334" i="5"/>
  <c r="N334" i="5" s="1"/>
  <c r="K334" i="5"/>
  <c r="M334" i="5"/>
  <c r="I335" i="5"/>
  <c r="K335" i="5"/>
  <c r="M335" i="5"/>
  <c r="I336" i="5"/>
  <c r="J336" i="5" s="1"/>
  <c r="K336" i="5"/>
  <c r="M336" i="5"/>
  <c r="I337" i="5"/>
  <c r="N337" i="5" s="1"/>
  <c r="K337" i="5"/>
  <c r="M337" i="5"/>
  <c r="I338" i="5"/>
  <c r="J338" i="5" s="1"/>
  <c r="K338" i="5"/>
  <c r="M338" i="5"/>
  <c r="I339" i="5"/>
  <c r="J339" i="5" s="1"/>
  <c r="K339" i="5"/>
  <c r="M339" i="5"/>
  <c r="I340" i="5"/>
  <c r="J340" i="5" s="1"/>
  <c r="K340" i="5"/>
  <c r="M340" i="5"/>
  <c r="I341" i="5"/>
  <c r="N341" i="5" s="1"/>
  <c r="K341" i="5"/>
  <c r="M341" i="5"/>
  <c r="I342" i="5"/>
  <c r="K342" i="5"/>
  <c r="M342" i="5"/>
  <c r="I343" i="5"/>
  <c r="N343" i="5" s="1"/>
  <c r="K343" i="5"/>
  <c r="M343" i="5"/>
  <c r="I344" i="5"/>
  <c r="J344" i="5" s="1"/>
  <c r="K344" i="5"/>
  <c r="M344" i="5"/>
  <c r="I345" i="5"/>
  <c r="J345" i="5" s="1"/>
  <c r="K345" i="5"/>
  <c r="M345" i="5"/>
  <c r="I346" i="5"/>
  <c r="K346" i="5"/>
  <c r="M346" i="5"/>
  <c r="I347" i="5"/>
  <c r="J347" i="5" s="1"/>
  <c r="K347" i="5"/>
  <c r="M347" i="5"/>
  <c r="I348" i="5"/>
  <c r="J348" i="5" s="1"/>
  <c r="K348" i="5"/>
  <c r="M348" i="5"/>
  <c r="I349" i="5"/>
  <c r="K349" i="5"/>
  <c r="M349" i="5"/>
  <c r="I350" i="5"/>
  <c r="J350" i="5" s="1"/>
  <c r="K350" i="5"/>
  <c r="M350" i="5"/>
  <c r="I351" i="5"/>
  <c r="N351" i="5" s="1"/>
  <c r="K351" i="5"/>
  <c r="M351" i="5"/>
  <c r="I352" i="5"/>
  <c r="J352" i="5" s="1"/>
  <c r="K352" i="5"/>
  <c r="M352" i="5"/>
  <c r="N352" i="5"/>
  <c r="I353" i="5"/>
  <c r="K353" i="5"/>
  <c r="M353" i="5"/>
  <c r="I354" i="5"/>
  <c r="N354" i="5" s="1"/>
  <c r="K354" i="5"/>
  <c r="M354" i="5"/>
  <c r="I355" i="5"/>
  <c r="J355" i="5" s="1"/>
  <c r="K355" i="5"/>
  <c r="M355" i="5"/>
  <c r="I356" i="5"/>
  <c r="J356" i="5" s="1"/>
  <c r="K356" i="5"/>
  <c r="M356" i="5"/>
  <c r="I357" i="5"/>
  <c r="N357" i="5" s="1"/>
  <c r="K357" i="5"/>
  <c r="M357" i="5"/>
  <c r="I358" i="5"/>
  <c r="J358" i="5" s="1"/>
  <c r="K358" i="5"/>
  <c r="M358" i="5"/>
  <c r="I359" i="5"/>
  <c r="N359" i="5" s="1"/>
  <c r="K359" i="5"/>
  <c r="M359" i="5"/>
  <c r="I360" i="5"/>
  <c r="N360" i="5" s="1"/>
  <c r="K360" i="5"/>
  <c r="M360" i="5"/>
  <c r="I361" i="5"/>
  <c r="J361" i="5" s="1"/>
  <c r="K361" i="5"/>
  <c r="M361" i="5"/>
  <c r="I362" i="5"/>
  <c r="N362" i="5" s="1"/>
  <c r="K362" i="5"/>
  <c r="M362" i="5"/>
  <c r="I363" i="5"/>
  <c r="J363" i="5" s="1"/>
  <c r="K363" i="5"/>
  <c r="M363" i="5"/>
  <c r="I364" i="5"/>
  <c r="J364" i="5" s="1"/>
  <c r="K364" i="5"/>
  <c r="M364" i="5"/>
  <c r="I365" i="5"/>
  <c r="N365" i="5" s="1"/>
  <c r="K365" i="5"/>
  <c r="M365" i="5"/>
  <c r="I366" i="5"/>
  <c r="J366" i="5" s="1"/>
  <c r="K366" i="5"/>
  <c r="M366" i="5"/>
  <c r="I367" i="5"/>
  <c r="N367" i="5" s="1"/>
  <c r="K367" i="5"/>
  <c r="M367" i="5"/>
  <c r="I368" i="5"/>
  <c r="N368" i="5" s="1"/>
  <c r="K368" i="5"/>
  <c r="M368" i="5"/>
  <c r="I369" i="5"/>
  <c r="J369" i="5" s="1"/>
  <c r="K369" i="5"/>
  <c r="M369" i="5"/>
  <c r="I370" i="5"/>
  <c r="N370" i="5" s="1"/>
  <c r="K370" i="5"/>
  <c r="M370" i="5"/>
  <c r="I371" i="5"/>
  <c r="J371" i="5" s="1"/>
  <c r="K371" i="5"/>
  <c r="M371" i="5"/>
  <c r="I372" i="5"/>
  <c r="J372" i="5" s="1"/>
  <c r="K372" i="5"/>
  <c r="M372" i="5"/>
  <c r="I373" i="5"/>
  <c r="N373" i="5" s="1"/>
  <c r="J373" i="5"/>
  <c r="K373" i="5"/>
  <c r="M373" i="5"/>
  <c r="I374" i="5"/>
  <c r="J374" i="5" s="1"/>
  <c r="K374" i="5"/>
  <c r="M374" i="5"/>
  <c r="I375" i="5"/>
  <c r="N375" i="5" s="1"/>
  <c r="K375" i="5"/>
  <c r="M375" i="5"/>
  <c r="I376" i="5"/>
  <c r="N376" i="5" s="1"/>
  <c r="K376" i="5"/>
  <c r="M376" i="5"/>
  <c r="I377" i="5"/>
  <c r="J377" i="5" s="1"/>
  <c r="K377" i="5"/>
  <c r="M377" i="5"/>
  <c r="I378" i="5"/>
  <c r="N378" i="5" s="1"/>
  <c r="K378" i="5"/>
  <c r="M378" i="5"/>
  <c r="I379" i="5"/>
  <c r="J379" i="5" s="1"/>
  <c r="K379" i="5"/>
  <c r="M379" i="5"/>
  <c r="I380" i="5"/>
  <c r="J380" i="5" s="1"/>
  <c r="K380" i="5"/>
  <c r="M380" i="5"/>
  <c r="I381" i="5"/>
  <c r="N381" i="5" s="1"/>
  <c r="K381" i="5"/>
  <c r="M381" i="5"/>
  <c r="I382" i="5"/>
  <c r="K382" i="5"/>
  <c r="M382" i="5"/>
  <c r="I383" i="5"/>
  <c r="N383" i="5" s="1"/>
  <c r="K383" i="5"/>
  <c r="M383" i="5"/>
  <c r="I384" i="5"/>
  <c r="J384" i="5" s="1"/>
  <c r="K384" i="5"/>
  <c r="M384" i="5"/>
  <c r="I385" i="5"/>
  <c r="J385" i="5" s="1"/>
  <c r="K385" i="5"/>
  <c r="M385" i="5"/>
  <c r="I386" i="5"/>
  <c r="N386" i="5" s="1"/>
  <c r="K386" i="5"/>
  <c r="M386" i="5"/>
  <c r="I387" i="5"/>
  <c r="J387" i="5" s="1"/>
  <c r="K387" i="5"/>
  <c r="M387" i="5"/>
  <c r="I388" i="5"/>
  <c r="J388" i="5" s="1"/>
  <c r="K388" i="5"/>
  <c r="M388" i="5"/>
  <c r="I389" i="5"/>
  <c r="N389" i="5" s="1"/>
  <c r="K389" i="5"/>
  <c r="M389" i="5"/>
  <c r="I390" i="5"/>
  <c r="N390" i="5" s="1"/>
  <c r="K390" i="5"/>
  <c r="M390" i="5"/>
  <c r="I391" i="5"/>
  <c r="N391" i="5" s="1"/>
  <c r="K391" i="5"/>
  <c r="M391" i="5"/>
  <c r="I392" i="5"/>
  <c r="N392" i="5" s="1"/>
  <c r="K392" i="5"/>
  <c r="M392" i="5"/>
  <c r="I393" i="5"/>
  <c r="J393" i="5" s="1"/>
  <c r="K393" i="5"/>
  <c r="M393" i="5"/>
  <c r="I394" i="5"/>
  <c r="K394" i="5"/>
  <c r="M394" i="5"/>
  <c r="I395" i="5"/>
  <c r="J395" i="5" s="1"/>
  <c r="K395" i="5"/>
  <c r="M395" i="5"/>
  <c r="I396" i="5"/>
  <c r="J396" i="5" s="1"/>
  <c r="K396" i="5"/>
  <c r="M396" i="5"/>
  <c r="I397" i="5"/>
  <c r="K397" i="5"/>
  <c r="M397" i="5"/>
  <c r="I398" i="5"/>
  <c r="N398" i="5" s="1"/>
  <c r="K398" i="5"/>
  <c r="M398" i="5"/>
  <c r="I399" i="5"/>
  <c r="N399" i="5" s="1"/>
  <c r="K399" i="5"/>
  <c r="M399" i="5"/>
  <c r="I400" i="5"/>
  <c r="J400" i="5" s="1"/>
  <c r="K400" i="5"/>
  <c r="M400" i="5"/>
  <c r="I401" i="5"/>
  <c r="J401" i="5" s="1"/>
  <c r="K401" i="5"/>
  <c r="M401" i="5"/>
  <c r="I402" i="5"/>
  <c r="N402" i="5" s="1"/>
  <c r="K402" i="5"/>
  <c r="M402" i="5"/>
  <c r="I403" i="5"/>
  <c r="J403" i="5" s="1"/>
  <c r="K403" i="5"/>
  <c r="M403" i="5"/>
  <c r="I404" i="5"/>
  <c r="J404" i="5" s="1"/>
  <c r="K404" i="5"/>
  <c r="M404" i="5"/>
  <c r="I405" i="5"/>
  <c r="N405" i="5" s="1"/>
  <c r="K405" i="5"/>
  <c r="M405" i="5"/>
  <c r="I406" i="5"/>
  <c r="N406" i="5" s="1"/>
  <c r="K406" i="5"/>
  <c r="M406" i="5"/>
  <c r="I407" i="5"/>
  <c r="N407" i="5" s="1"/>
  <c r="K407" i="5"/>
  <c r="M407" i="5"/>
  <c r="I408" i="5"/>
  <c r="J408" i="5" s="1"/>
  <c r="K408" i="5"/>
  <c r="M408" i="5"/>
  <c r="I409" i="5"/>
  <c r="K409" i="5"/>
  <c r="M409" i="5"/>
  <c r="I410" i="5"/>
  <c r="N410" i="5" s="1"/>
  <c r="K410" i="5"/>
  <c r="M410" i="5"/>
  <c r="I411" i="5"/>
  <c r="J411" i="5" s="1"/>
  <c r="K411" i="5"/>
  <c r="M411" i="5"/>
  <c r="I412" i="5"/>
  <c r="J412" i="5" s="1"/>
  <c r="K412" i="5"/>
  <c r="M412" i="5"/>
  <c r="I413" i="5"/>
  <c r="N413" i="5" s="1"/>
  <c r="K413" i="5"/>
  <c r="M413" i="5"/>
  <c r="I414" i="5"/>
  <c r="N414" i="5" s="1"/>
  <c r="K414" i="5"/>
  <c r="M414" i="5"/>
  <c r="I415" i="5"/>
  <c r="N415" i="5" s="1"/>
  <c r="K415" i="5"/>
  <c r="M415" i="5"/>
  <c r="I416" i="5"/>
  <c r="K416" i="5"/>
  <c r="M416" i="5"/>
  <c r="I417" i="5"/>
  <c r="J417" i="5" s="1"/>
  <c r="K417" i="5"/>
  <c r="M417" i="5"/>
  <c r="I418" i="5"/>
  <c r="N418" i="5" s="1"/>
  <c r="K418" i="5"/>
  <c r="M418" i="5"/>
  <c r="I419" i="5"/>
  <c r="J419" i="5" s="1"/>
  <c r="K419" i="5"/>
  <c r="M419" i="5"/>
  <c r="I420" i="5"/>
  <c r="J420" i="5" s="1"/>
  <c r="K420" i="5"/>
  <c r="M420" i="5"/>
  <c r="I421" i="5"/>
  <c r="N421" i="5" s="1"/>
  <c r="K421" i="5"/>
  <c r="M421" i="5"/>
  <c r="I422" i="5"/>
  <c r="J422" i="5" s="1"/>
  <c r="K422" i="5"/>
  <c r="M422" i="5"/>
  <c r="N422" i="5"/>
  <c r="I423" i="5"/>
  <c r="N423" i="5" s="1"/>
  <c r="K423" i="5"/>
  <c r="M423" i="5"/>
  <c r="I424" i="5"/>
  <c r="N424" i="5" s="1"/>
  <c r="K424" i="5"/>
  <c r="M424" i="5"/>
  <c r="I425" i="5"/>
  <c r="J425" i="5" s="1"/>
  <c r="K425" i="5"/>
  <c r="M425" i="5"/>
  <c r="I426" i="5"/>
  <c r="N426" i="5" s="1"/>
  <c r="K426" i="5"/>
  <c r="M426" i="5"/>
  <c r="I427" i="5"/>
  <c r="J427" i="5" s="1"/>
  <c r="K427" i="5"/>
  <c r="M427" i="5"/>
  <c r="I428" i="5"/>
  <c r="J428" i="5" s="1"/>
  <c r="K428" i="5"/>
  <c r="M428" i="5"/>
  <c r="I429" i="5"/>
  <c r="N429" i="5" s="1"/>
  <c r="K429" i="5"/>
  <c r="M429" i="5"/>
  <c r="I430" i="5"/>
  <c r="J430" i="5" s="1"/>
  <c r="K430" i="5"/>
  <c r="M430" i="5"/>
  <c r="I431" i="5"/>
  <c r="N431" i="5" s="1"/>
  <c r="K431" i="5"/>
  <c r="M431" i="5"/>
  <c r="I432" i="5"/>
  <c r="N432" i="5" s="1"/>
  <c r="K432" i="5"/>
  <c r="M432" i="5"/>
  <c r="I433" i="5"/>
  <c r="J433" i="5" s="1"/>
  <c r="K433" i="5"/>
  <c r="M433" i="5"/>
  <c r="I434" i="5"/>
  <c r="N434" i="5" s="1"/>
  <c r="K434" i="5"/>
  <c r="M434" i="5"/>
  <c r="I435" i="5"/>
  <c r="J435" i="5" s="1"/>
  <c r="K435" i="5"/>
  <c r="M435" i="5"/>
  <c r="I436" i="5"/>
  <c r="J436" i="5" s="1"/>
  <c r="K436" i="5"/>
  <c r="M436" i="5"/>
  <c r="I437" i="5"/>
  <c r="N437" i="5" s="1"/>
  <c r="K437" i="5"/>
  <c r="M437" i="5"/>
  <c r="I438" i="5"/>
  <c r="J438" i="5" s="1"/>
  <c r="K438" i="5"/>
  <c r="M438" i="5"/>
  <c r="I439" i="5"/>
  <c r="N439" i="5" s="1"/>
  <c r="K439" i="5"/>
  <c r="M439" i="5"/>
  <c r="I440" i="5"/>
  <c r="N440" i="5" s="1"/>
  <c r="K440" i="5"/>
  <c r="M440" i="5"/>
  <c r="I441" i="5"/>
  <c r="J441" i="5" s="1"/>
  <c r="K441" i="5"/>
  <c r="M441" i="5"/>
  <c r="I442" i="5"/>
  <c r="N442" i="5" s="1"/>
  <c r="K442" i="5"/>
  <c r="M442" i="5"/>
  <c r="I443" i="5"/>
  <c r="J443" i="5" s="1"/>
  <c r="K443" i="5"/>
  <c r="M443" i="5"/>
  <c r="I444" i="5"/>
  <c r="J444" i="5" s="1"/>
  <c r="K444" i="5"/>
  <c r="M444" i="5"/>
  <c r="I445" i="5"/>
  <c r="N445" i="5" s="1"/>
  <c r="K445" i="5"/>
  <c r="M445" i="5"/>
  <c r="I446" i="5"/>
  <c r="K446" i="5"/>
  <c r="M446" i="5"/>
  <c r="I447" i="5"/>
  <c r="N447" i="5" s="1"/>
  <c r="K447" i="5"/>
  <c r="M447" i="5"/>
  <c r="I448" i="5"/>
  <c r="J448" i="5" s="1"/>
  <c r="K448" i="5"/>
  <c r="M448" i="5"/>
  <c r="I449" i="5"/>
  <c r="J449" i="5" s="1"/>
  <c r="K449" i="5"/>
  <c r="M449" i="5"/>
  <c r="I450" i="5"/>
  <c r="N450" i="5" s="1"/>
  <c r="K450" i="5"/>
  <c r="M450" i="5"/>
  <c r="I451" i="5"/>
  <c r="J451" i="5" s="1"/>
  <c r="K451" i="5"/>
  <c r="M451" i="5"/>
  <c r="I452" i="5"/>
  <c r="J452" i="5" s="1"/>
  <c r="K452" i="5"/>
  <c r="M452" i="5"/>
  <c r="I453" i="5"/>
  <c r="N453" i="5" s="1"/>
  <c r="K453" i="5"/>
  <c r="M453" i="5"/>
  <c r="I454" i="5"/>
  <c r="N454" i="5" s="1"/>
  <c r="K454" i="5"/>
  <c r="M454" i="5"/>
  <c r="I455" i="5"/>
  <c r="N455" i="5" s="1"/>
  <c r="K455" i="5"/>
  <c r="M455" i="5"/>
  <c r="I456" i="5"/>
  <c r="J456" i="5" s="1"/>
  <c r="K456" i="5"/>
  <c r="M456" i="5"/>
  <c r="I457" i="5"/>
  <c r="J457" i="5" s="1"/>
  <c r="K457" i="5"/>
  <c r="M457" i="5"/>
  <c r="I458" i="5"/>
  <c r="K458" i="5"/>
  <c r="M458" i="5"/>
  <c r="I459" i="5"/>
  <c r="J459" i="5" s="1"/>
  <c r="K459" i="5"/>
  <c r="M459" i="5"/>
  <c r="I460" i="5"/>
  <c r="J460" i="5" s="1"/>
  <c r="K460" i="5"/>
  <c r="M460" i="5"/>
  <c r="I461" i="5"/>
  <c r="K461" i="5"/>
  <c r="M461" i="5"/>
  <c r="I462" i="5"/>
  <c r="N462" i="5" s="1"/>
  <c r="K462" i="5"/>
  <c r="M462" i="5"/>
  <c r="I463" i="5"/>
  <c r="N463" i="5" s="1"/>
  <c r="K463" i="5"/>
  <c r="M463" i="5"/>
  <c r="I464" i="5"/>
  <c r="J464" i="5" s="1"/>
  <c r="K464" i="5"/>
  <c r="M464" i="5"/>
  <c r="I465" i="5"/>
  <c r="J465" i="5" s="1"/>
  <c r="K465" i="5"/>
  <c r="M465" i="5"/>
  <c r="N465" i="5"/>
  <c r="I466" i="5"/>
  <c r="N466" i="5" s="1"/>
  <c r="K466" i="5"/>
  <c r="M466" i="5"/>
  <c r="I467" i="5"/>
  <c r="J467" i="5" s="1"/>
  <c r="K467" i="5"/>
  <c r="M467" i="5"/>
  <c r="I468" i="5"/>
  <c r="J468" i="5" s="1"/>
  <c r="K468" i="5"/>
  <c r="M468" i="5"/>
  <c r="I469" i="5"/>
  <c r="N469" i="5" s="1"/>
  <c r="K469" i="5"/>
  <c r="M469" i="5"/>
  <c r="I470" i="5"/>
  <c r="N470" i="5" s="1"/>
  <c r="K470" i="5"/>
  <c r="M470" i="5"/>
  <c r="I471" i="5"/>
  <c r="N471" i="5" s="1"/>
  <c r="K471" i="5"/>
  <c r="M471" i="5"/>
  <c r="I472" i="5"/>
  <c r="J472" i="5" s="1"/>
  <c r="K472" i="5"/>
  <c r="M472" i="5"/>
  <c r="I473" i="5"/>
  <c r="K473" i="5"/>
  <c r="M473" i="5"/>
  <c r="I474" i="5"/>
  <c r="N474" i="5" s="1"/>
  <c r="K474" i="5"/>
  <c r="M474" i="5"/>
  <c r="I475" i="5"/>
  <c r="J475" i="5" s="1"/>
  <c r="K475" i="5"/>
  <c r="M475" i="5"/>
  <c r="I476" i="5"/>
  <c r="J476" i="5" s="1"/>
  <c r="K476" i="5"/>
  <c r="M476" i="5"/>
  <c r="I477" i="5"/>
  <c r="N477" i="5" s="1"/>
  <c r="K477" i="5"/>
  <c r="M477" i="5"/>
  <c r="I478" i="5"/>
  <c r="N478" i="5" s="1"/>
  <c r="J478" i="5"/>
  <c r="K478" i="5"/>
  <c r="M478" i="5"/>
  <c r="I479" i="5"/>
  <c r="N479" i="5" s="1"/>
  <c r="K479" i="5"/>
  <c r="M479" i="5"/>
  <c r="I480" i="5"/>
  <c r="K480" i="5"/>
  <c r="M480" i="5"/>
  <c r="I481" i="5"/>
  <c r="J481" i="5" s="1"/>
  <c r="K481" i="5"/>
  <c r="M481" i="5"/>
  <c r="I482" i="5"/>
  <c r="N482" i="5" s="1"/>
  <c r="K482" i="5"/>
  <c r="M482" i="5"/>
  <c r="I483" i="5"/>
  <c r="J483" i="5" s="1"/>
  <c r="K483" i="5"/>
  <c r="M483" i="5"/>
  <c r="I484" i="5"/>
  <c r="J484" i="5" s="1"/>
  <c r="K484" i="5"/>
  <c r="M484" i="5"/>
  <c r="I485" i="5"/>
  <c r="N485" i="5" s="1"/>
  <c r="K485" i="5"/>
  <c r="M485" i="5"/>
  <c r="I486" i="5"/>
  <c r="N486" i="5" s="1"/>
  <c r="K486" i="5"/>
  <c r="M486" i="5"/>
  <c r="I487" i="5"/>
  <c r="N487" i="5" s="1"/>
  <c r="K487" i="5"/>
  <c r="M487" i="5"/>
  <c r="I488" i="5"/>
  <c r="N488" i="5" s="1"/>
  <c r="K488" i="5"/>
  <c r="M488" i="5"/>
  <c r="I489" i="5"/>
  <c r="J489" i="5" s="1"/>
  <c r="K489" i="5"/>
  <c r="M489" i="5"/>
  <c r="I490" i="5"/>
  <c r="N490" i="5" s="1"/>
  <c r="J490" i="5"/>
  <c r="K490" i="5"/>
  <c r="M490" i="5"/>
  <c r="I491" i="5"/>
  <c r="J491" i="5" s="1"/>
  <c r="K491" i="5"/>
  <c r="M491" i="5"/>
  <c r="I492" i="5"/>
  <c r="J492" i="5" s="1"/>
  <c r="K492" i="5"/>
  <c r="M492" i="5"/>
  <c r="I493" i="5"/>
  <c r="N493" i="5" s="1"/>
  <c r="K493" i="5"/>
  <c r="M493" i="5"/>
  <c r="I494" i="5"/>
  <c r="J494" i="5" s="1"/>
  <c r="K494" i="5"/>
  <c r="M494" i="5"/>
  <c r="I495" i="5"/>
  <c r="N495" i="5" s="1"/>
  <c r="K495" i="5"/>
  <c r="M495" i="5"/>
  <c r="I496" i="5"/>
  <c r="N496" i="5" s="1"/>
  <c r="K496" i="5"/>
  <c r="M496" i="5"/>
  <c r="I497" i="5"/>
  <c r="J497" i="5" s="1"/>
  <c r="K497" i="5"/>
  <c r="M497" i="5"/>
  <c r="I498" i="5"/>
  <c r="N498" i="5" s="1"/>
  <c r="K498" i="5"/>
  <c r="M498" i="5"/>
  <c r="I499" i="5"/>
  <c r="J499" i="5" s="1"/>
  <c r="K499" i="5"/>
  <c r="M499" i="5"/>
  <c r="I500" i="5"/>
  <c r="J500" i="5" s="1"/>
  <c r="K500" i="5"/>
  <c r="M500" i="5"/>
  <c r="I501" i="5"/>
  <c r="N501" i="5" s="1"/>
  <c r="K501" i="5"/>
  <c r="M501" i="5"/>
  <c r="I502" i="5"/>
  <c r="J502" i="5" s="1"/>
  <c r="K502" i="5"/>
  <c r="M502" i="5"/>
  <c r="I503" i="5"/>
  <c r="N503" i="5" s="1"/>
  <c r="K503" i="5"/>
  <c r="M503" i="5"/>
  <c r="I504" i="5"/>
  <c r="N504" i="5" s="1"/>
  <c r="K504" i="5"/>
  <c r="M504" i="5"/>
  <c r="I505" i="5"/>
  <c r="J505" i="5" s="1"/>
  <c r="K505" i="5"/>
  <c r="M505" i="5"/>
  <c r="I506" i="5"/>
  <c r="N506" i="5" s="1"/>
  <c r="K506" i="5"/>
  <c r="M506" i="5"/>
  <c r="I507" i="5"/>
  <c r="J507" i="5" s="1"/>
  <c r="K507" i="5"/>
  <c r="M507" i="5"/>
  <c r="I508" i="5"/>
  <c r="J508" i="5" s="1"/>
  <c r="K508" i="5"/>
  <c r="M508" i="5"/>
  <c r="I509" i="5"/>
  <c r="N509" i="5" s="1"/>
  <c r="K509" i="5"/>
  <c r="M509" i="5"/>
  <c r="I510" i="5"/>
  <c r="K510" i="5"/>
  <c r="M510" i="5"/>
  <c r="I511" i="5"/>
  <c r="N511" i="5" s="1"/>
  <c r="K511" i="5"/>
  <c r="M511" i="5"/>
  <c r="I512" i="5"/>
  <c r="N512" i="5" s="1"/>
  <c r="K512" i="5"/>
  <c r="M512" i="5"/>
  <c r="I513" i="5"/>
  <c r="J513" i="5" s="1"/>
  <c r="K513" i="5"/>
  <c r="M513" i="5"/>
  <c r="I514" i="5"/>
  <c r="N514" i="5" s="1"/>
  <c r="K514" i="5"/>
  <c r="M514" i="5"/>
  <c r="I515" i="5"/>
  <c r="J515" i="5" s="1"/>
  <c r="K515" i="5"/>
  <c r="M515" i="5"/>
  <c r="I516" i="5"/>
  <c r="J516" i="5" s="1"/>
  <c r="K516" i="5"/>
  <c r="M516" i="5"/>
  <c r="I517" i="5"/>
  <c r="N517" i="5" s="1"/>
  <c r="K517" i="5"/>
  <c r="M517" i="5"/>
  <c r="I518" i="5"/>
  <c r="N518" i="5" s="1"/>
  <c r="K518" i="5"/>
  <c r="M518" i="5"/>
  <c r="I519" i="5"/>
  <c r="N519" i="5" s="1"/>
  <c r="K519" i="5"/>
  <c r="M519" i="5"/>
  <c r="I520" i="5"/>
  <c r="N520" i="5" s="1"/>
  <c r="K520" i="5"/>
  <c r="M520" i="5"/>
  <c r="I521" i="5"/>
  <c r="J521" i="5" s="1"/>
  <c r="K521" i="5"/>
  <c r="M521" i="5"/>
  <c r="I522" i="5"/>
  <c r="K522" i="5"/>
  <c r="M522" i="5"/>
  <c r="I523" i="5"/>
  <c r="J523" i="5" s="1"/>
  <c r="K523" i="5"/>
  <c r="M523" i="5"/>
  <c r="I524" i="5"/>
  <c r="J524" i="5" s="1"/>
  <c r="K524" i="5"/>
  <c r="M524" i="5"/>
  <c r="I525" i="5"/>
  <c r="K525" i="5"/>
  <c r="M525" i="5"/>
  <c r="I526" i="5"/>
  <c r="N526" i="5" s="1"/>
  <c r="K526" i="5"/>
  <c r="M526" i="5"/>
  <c r="I527" i="5"/>
  <c r="N527" i="5" s="1"/>
  <c r="K527" i="5"/>
  <c r="M527" i="5"/>
  <c r="I528" i="5"/>
  <c r="J528" i="5" s="1"/>
  <c r="K528" i="5"/>
  <c r="M528" i="5"/>
  <c r="I529" i="5"/>
  <c r="J529" i="5" s="1"/>
  <c r="K529" i="5"/>
  <c r="M529" i="5"/>
  <c r="I530" i="5"/>
  <c r="N530" i="5" s="1"/>
  <c r="K530" i="5"/>
  <c r="M530" i="5"/>
  <c r="I531" i="5"/>
  <c r="J531" i="5" s="1"/>
  <c r="K531" i="5"/>
  <c r="M531" i="5"/>
  <c r="I532" i="5"/>
  <c r="J532" i="5" s="1"/>
  <c r="K532" i="5"/>
  <c r="M532" i="5"/>
  <c r="I533" i="5"/>
  <c r="N533" i="5" s="1"/>
  <c r="K533" i="5"/>
  <c r="M533" i="5"/>
  <c r="I534" i="5"/>
  <c r="N534" i="5" s="1"/>
  <c r="K534" i="5"/>
  <c r="M534" i="5"/>
  <c r="I535" i="5"/>
  <c r="N535" i="5" s="1"/>
  <c r="K535" i="5"/>
  <c r="M535" i="5"/>
  <c r="I536" i="5"/>
  <c r="J536" i="5" s="1"/>
  <c r="K536" i="5"/>
  <c r="M536" i="5"/>
  <c r="I537" i="5"/>
  <c r="K537" i="5"/>
  <c r="M537" i="5"/>
  <c r="I538" i="5"/>
  <c r="N538" i="5" s="1"/>
  <c r="K538" i="5"/>
  <c r="M538" i="5"/>
  <c r="I539" i="5"/>
  <c r="J539" i="5" s="1"/>
  <c r="K539" i="5"/>
  <c r="M539" i="5"/>
  <c r="I540" i="5"/>
  <c r="J540" i="5" s="1"/>
  <c r="K540" i="5"/>
  <c r="M540" i="5"/>
  <c r="I541" i="5"/>
  <c r="N541" i="5" s="1"/>
  <c r="K541" i="5"/>
  <c r="M541" i="5"/>
  <c r="I542" i="5"/>
  <c r="N542" i="5" s="1"/>
  <c r="K542" i="5"/>
  <c r="M542" i="5"/>
  <c r="I543" i="5"/>
  <c r="N543" i="5" s="1"/>
  <c r="K543" i="5"/>
  <c r="M543" i="5"/>
  <c r="I544" i="5"/>
  <c r="J544" i="5" s="1"/>
  <c r="K544" i="5"/>
  <c r="M544" i="5"/>
  <c r="I545" i="5"/>
  <c r="J545" i="5" s="1"/>
  <c r="K545" i="5"/>
  <c r="M545" i="5"/>
  <c r="I546" i="5"/>
  <c r="K546" i="5"/>
  <c r="M546" i="5"/>
  <c r="I547" i="5"/>
  <c r="J547" i="5" s="1"/>
  <c r="K547" i="5"/>
  <c r="M547" i="5"/>
  <c r="I548" i="5"/>
  <c r="J548" i="5" s="1"/>
  <c r="K548" i="5"/>
  <c r="M548" i="5"/>
  <c r="I549" i="5"/>
  <c r="K549" i="5"/>
  <c r="M549" i="5"/>
  <c r="I550" i="5"/>
  <c r="J550" i="5" s="1"/>
  <c r="K550" i="5"/>
  <c r="M550" i="5"/>
  <c r="I551" i="5"/>
  <c r="N551" i="5" s="1"/>
  <c r="K551" i="5"/>
  <c r="M551" i="5"/>
  <c r="I552" i="5"/>
  <c r="J552" i="5" s="1"/>
  <c r="K552" i="5"/>
  <c r="M552" i="5"/>
  <c r="I553" i="5"/>
  <c r="J553" i="5" s="1"/>
  <c r="K553" i="5"/>
  <c r="M553" i="5"/>
  <c r="I554" i="5"/>
  <c r="N554" i="5" s="1"/>
  <c r="K554" i="5"/>
  <c r="M554" i="5"/>
  <c r="I555" i="5"/>
  <c r="J555" i="5" s="1"/>
  <c r="K555" i="5"/>
  <c r="M555" i="5"/>
  <c r="I556" i="5"/>
  <c r="J556" i="5" s="1"/>
  <c r="K556" i="5"/>
  <c r="M556" i="5"/>
  <c r="I557" i="5"/>
  <c r="N557" i="5" s="1"/>
  <c r="K557" i="5"/>
  <c r="M557" i="5"/>
  <c r="I558" i="5"/>
  <c r="J558" i="5" s="1"/>
  <c r="K558" i="5"/>
  <c r="M558" i="5"/>
  <c r="I559" i="5"/>
  <c r="N559" i="5" s="1"/>
  <c r="K559" i="5"/>
  <c r="M559" i="5"/>
  <c r="I560" i="5"/>
  <c r="N560" i="5" s="1"/>
  <c r="K560" i="5"/>
  <c r="M560" i="5"/>
  <c r="I561" i="5"/>
  <c r="K561" i="5"/>
  <c r="M561" i="5"/>
  <c r="I562" i="5"/>
  <c r="N562" i="5" s="1"/>
  <c r="K562" i="5"/>
  <c r="M562" i="5"/>
  <c r="I563" i="5"/>
  <c r="J563" i="5" s="1"/>
  <c r="K563" i="5"/>
  <c r="M563" i="5"/>
  <c r="I564" i="5"/>
  <c r="J564" i="5" s="1"/>
  <c r="K564" i="5"/>
  <c r="M564" i="5"/>
  <c r="I565" i="5"/>
  <c r="N565" i="5" s="1"/>
  <c r="K565" i="5"/>
  <c r="M565" i="5"/>
  <c r="I566" i="5"/>
  <c r="J566" i="5" s="1"/>
  <c r="K566" i="5"/>
  <c r="M566" i="5"/>
  <c r="I567" i="5"/>
  <c r="N567" i="5" s="1"/>
  <c r="K567" i="5"/>
  <c r="M567" i="5"/>
  <c r="I568" i="5"/>
  <c r="K568" i="5"/>
  <c r="M568" i="5"/>
  <c r="I569" i="5"/>
  <c r="J569" i="5" s="1"/>
  <c r="K569" i="5"/>
  <c r="M569" i="5"/>
  <c r="I570" i="5"/>
  <c r="N570" i="5" s="1"/>
  <c r="K570" i="5"/>
  <c r="M570" i="5"/>
  <c r="I571" i="5"/>
  <c r="J571" i="5" s="1"/>
  <c r="K571" i="5"/>
  <c r="M571" i="5"/>
  <c r="I572" i="5"/>
  <c r="J572" i="5" s="1"/>
  <c r="K572" i="5"/>
  <c r="M572" i="5"/>
  <c r="I573" i="5"/>
  <c r="N573" i="5" s="1"/>
  <c r="K573" i="5"/>
  <c r="M573" i="5"/>
  <c r="I574" i="5"/>
  <c r="J574" i="5" s="1"/>
  <c r="K574" i="5"/>
  <c r="M574" i="5"/>
  <c r="I575" i="5"/>
  <c r="N575" i="5" s="1"/>
  <c r="K575" i="5"/>
  <c r="M575" i="5"/>
  <c r="I576" i="5"/>
  <c r="N576" i="5" s="1"/>
  <c r="K576" i="5"/>
  <c r="M576" i="5"/>
  <c r="I577" i="5"/>
  <c r="J577" i="5" s="1"/>
  <c r="K577" i="5"/>
  <c r="M577" i="5"/>
  <c r="I578" i="5"/>
  <c r="N578" i="5" s="1"/>
  <c r="K578" i="5"/>
  <c r="M578" i="5"/>
  <c r="I579" i="5"/>
  <c r="J579" i="5" s="1"/>
  <c r="K579" i="5"/>
  <c r="M579" i="5"/>
  <c r="I580" i="5"/>
  <c r="J580" i="5" s="1"/>
  <c r="K580" i="5"/>
  <c r="M580" i="5"/>
  <c r="I581" i="5"/>
  <c r="N581" i="5" s="1"/>
  <c r="K581" i="5"/>
  <c r="M581" i="5"/>
  <c r="I582" i="5"/>
  <c r="N582" i="5" s="1"/>
  <c r="K582" i="5"/>
  <c r="M582" i="5"/>
  <c r="I583" i="5"/>
  <c r="N583" i="5" s="1"/>
  <c r="K583" i="5"/>
  <c r="M583" i="5"/>
  <c r="I584" i="5"/>
  <c r="N584" i="5" s="1"/>
  <c r="K584" i="5"/>
  <c r="M584" i="5"/>
  <c r="I585" i="5"/>
  <c r="J585" i="5" s="1"/>
  <c r="K585" i="5"/>
  <c r="M585" i="5"/>
  <c r="I586" i="5"/>
  <c r="K586" i="5"/>
  <c r="M586" i="5"/>
  <c r="I587" i="5"/>
  <c r="J587" i="5" s="1"/>
  <c r="K587" i="5"/>
  <c r="M587" i="5"/>
  <c r="I588" i="5"/>
  <c r="J588" i="5" s="1"/>
  <c r="K588" i="5"/>
  <c r="M588" i="5"/>
  <c r="I589" i="5"/>
  <c r="K589" i="5"/>
  <c r="M589" i="5"/>
  <c r="I590" i="5"/>
  <c r="N590" i="5" s="1"/>
  <c r="K590" i="5"/>
  <c r="M590" i="5"/>
  <c r="I591" i="5"/>
  <c r="N591" i="5" s="1"/>
  <c r="K591" i="5"/>
  <c r="M591" i="5"/>
  <c r="I592" i="5"/>
  <c r="J592" i="5" s="1"/>
  <c r="K592" i="5"/>
  <c r="M592" i="5"/>
  <c r="I593" i="5"/>
  <c r="J593" i="5" s="1"/>
  <c r="K593" i="5"/>
  <c r="M593" i="5"/>
  <c r="I594" i="5"/>
  <c r="N594" i="5" s="1"/>
  <c r="K594" i="5"/>
  <c r="M594" i="5"/>
  <c r="I595" i="5"/>
  <c r="J595" i="5" s="1"/>
  <c r="K595" i="5"/>
  <c r="M595" i="5"/>
  <c r="I596" i="5"/>
  <c r="J596" i="5" s="1"/>
  <c r="K596" i="5"/>
  <c r="M596" i="5"/>
  <c r="I597" i="5"/>
  <c r="N597" i="5" s="1"/>
  <c r="K597" i="5"/>
  <c r="M597" i="5"/>
  <c r="I598" i="5"/>
  <c r="K598" i="5"/>
  <c r="M598" i="5"/>
  <c r="I599" i="5"/>
  <c r="N599" i="5" s="1"/>
  <c r="K599" i="5"/>
  <c r="M599" i="5"/>
  <c r="I600" i="5"/>
  <c r="K600" i="5"/>
  <c r="M600" i="5"/>
  <c r="I601" i="5"/>
  <c r="K601" i="5"/>
  <c r="M601" i="5"/>
  <c r="I602" i="5"/>
  <c r="N602" i="5" s="1"/>
  <c r="K602" i="5"/>
  <c r="M602" i="5"/>
  <c r="I603" i="5"/>
  <c r="J603" i="5" s="1"/>
  <c r="K603" i="5"/>
  <c r="M603" i="5"/>
  <c r="I604" i="5"/>
  <c r="J604" i="5" s="1"/>
  <c r="K604" i="5"/>
  <c r="M604" i="5"/>
  <c r="I605" i="5"/>
  <c r="N605" i="5" s="1"/>
  <c r="K605" i="5"/>
  <c r="M605" i="5"/>
  <c r="I606" i="5"/>
  <c r="N606" i="5" s="1"/>
  <c r="K606" i="5"/>
  <c r="M606" i="5"/>
  <c r="I607" i="5"/>
  <c r="N607" i="5" s="1"/>
  <c r="K607" i="5"/>
  <c r="M607" i="5"/>
  <c r="I608" i="5"/>
  <c r="N608" i="5" s="1"/>
  <c r="K608" i="5"/>
  <c r="M608" i="5"/>
  <c r="I609" i="5"/>
  <c r="J609" i="5" s="1"/>
  <c r="K609" i="5"/>
  <c r="M609" i="5"/>
  <c r="I610" i="5"/>
  <c r="K610" i="5"/>
  <c r="M610" i="5"/>
  <c r="I611" i="5"/>
  <c r="J611" i="5" s="1"/>
  <c r="K611" i="5"/>
  <c r="M611" i="5"/>
  <c r="I612" i="5"/>
  <c r="J612" i="5" s="1"/>
  <c r="K612" i="5"/>
  <c r="M612" i="5"/>
  <c r="I613" i="5"/>
  <c r="K613" i="5"/>
  <c r="M613" i="5"/>
  <c r="I614" i="5"/>
  <c r="N614" i="5" s="1"/>
  <c r="K614" i="5"/>
  <c r="M614" i="5"/>
  <c r="I615" i="5"/>
  <c r="N615" i="5" s="1"/>
  <c r="K615" i="5"/>
  <c r="M615" i="5"/>
  <c r="I616" i="5"/>
  <c r="N616" i="5" s="1"/>
  <c r="K616" i="5"/>
  <c r="M616" i="5"/>
  <c r="I617" i="5"/>
  <c r="J617" i="5" s="1"/>
  <c r="K617" i="5"/>
  <c r="M617" i="5"/>
  <c r="I618" i="5"/>
  <c r="N618" i="5" s="1"/>
  <c r="J618" i="5"/>
  <c r="K618" i="5"/>
  <c r="M618" i="5"/>
  <c r="I619" i="5"/>
  <c r="J619" i="5" s="1"/>
  <c r="K619" i="5"/>
  <c r="M619" i="5"/>
  <c r="I620" i="5"/>
  <c r="K620" i="5"/>
  <c r="M620" i="5"/>
  <c r="I621" i="5"/>
  <c r="N621" i="5" s="1"/>
  <c r="K621" i="5"/>
  <c r="M621" i="5"/>
  <c r="I622" i="5"/>
  <c r="J622" i="5" s="1"/>
  <c r="K622" i="5"/>
  <c r="M622" i="5"/>
  <c r="I623" i="5"/>
  <c r="N623" i="5" s="1"/>
  <c r="K623" i="5"/>
  <c r="M623" i="5"/>
  <c r="I624" i="5"/>
  <c r="N624" i="5" s="1"/>
  <c r="K624" i="5"/>
  <c r="M624" i="5"/>
  <c r="I625" i="5"/>
  <c r="J625" i="5" s="1"/>
  <c r="K625" i="5"/>
  <c r="M625" i="5"/>
  <c r="I626" i="5"/>
  <c r="N626" i="5" s="1"/>
  <c r="K626" i="5"/>
  <c r="M626" i="5"/>
  <c r="I627" i="5"/>
  <c r="K627" i="5"/>
  <c r="M627" i="5"/>
  <c r="I628" i="5"/>
  <c r="N628" i="5" s="1"/>
  <c r="K628" i="5"/>
  <c r="M628" i="5"/>
  <c r="I629" i="5"/>
  <c r="N629" i="5" s="1"/>
  <c r="K629" i="5"/>
  <c r="M629" i="5"/>
  <c r="I630" i="5"/>
  <c r="K630" i="5"/>
  <c r="M630" i="5"/>
  <c r="I631" i="5"/>
  <c r="N631" i="5" s="1"/>
  <c r="K631" i="5"/>
  <c r="M631" i="5"/>
  <c r="I632" i="5"/>
  <c r="K632" i="5"/>
  <c r="M632" i="5"/>
  <c r="I633" i="5"/>
  <c r="J633" i="5" s="1"/>
  <c r="K633" i="5"/>
  <c r="M633" i="5"/>
  <c r="I634" i="5"/>
  <c r="N634" i="5" s="1"/>
  <c r="K634" i="5"/>
  <c r="M634" i="5"/>
  <c r="I635" i="5"/>
  <c r="K635" i="5"/>
  <c r="M635" i="5"/>
  <c r="I636" i="5"/>
  <c r="N636" i="5" s="1"/>
  <c r="K636" i="5"/>
  <c r="M636" i="5"/>
  <c r="I637" i="5"/>
  <c r="N637" i="5" s="1"/>
  <c r="K637" i="5"/>
  <c r="M637" i="5"/>
  <c r="I638" i="5"/>
  <c r="J638" i="5" s="1"/>
  <c r="K638" i="5"/>
  <c r="M638" i="5"/>
  <c r="I639" i="5"/>
  <c r="N639" i="5" s="1"/>
  <c r="K639" i="5"/>
  <c r="M639" i="5"/>
  <c r="I640" i="5"/>
  <c r="N640" i="5" s="1"/>
  <c r="K640" i="5"/>
  <c r="M640" i="5"/>
  <c r="I641" i="5"/>
  <c r="J641" i="5" s="1"/>
  <c r="K641" i="5"/>
  <c r="M641" i="5"/>
  <c r="I642" i="5"/>
  <c r="N642" i="5" s="1"/>
  <c r="K642" i="5"/>
  <c r="M642" i="5"/>
  <c r="I643" i="5"/>
  <c r="K643" i="5"/>
  <c r="M643" i="5"/>
  <c r="I644" i="5"/>
  <c r="N644" i="5" s="1"/>
  <c r="K644" i="5"/>
  <c r="M644" i="5"/>
  <c r="I645" i="5"/>
  <c r="N645" i="5" s="1"/>
  <c r="K645" i="5"/>
  <c r="M645" i="5"/>
  <c r="I646" i="5"/>
  <c r="K646" i="5"/>
  <c r="M646" i="5"/>
  <c r="I647" i="5"/>
  <c r="K647" i="5"/>
  <c r="M647" i="5"/>
  <c r="I648" i="5"/>
  <c r="K648" i="5"/>
  <c r="M648" i="5"/>
  <c r="I649" i="5"/>
  <c r="J649" i="5" s="1"/>
  <c r="K649" i="5"/>
  <c r="M649" i="5"/>
  <c r="I650" i="5"/>
  <c r="N650" i="5" s="1"/>
  <c r="K650" i="5"/>
  <c r="M650" i="5"/>
  <c r="I651" i="5"/>
  <c r="K651" i="5"/>
  <c r="M651" i="5"/>
  <c r="I652" i="5"/>
  <c r="K652" i="5"/>
  <c r="M652" i="5"/>
  <c r="I653" i="5"/>
  <c r="N653" i="5" s="1"/>
  <c r="K653" i="5"/>
  <c r="M653" i="5"/>
  <c r="I654" i="5"/>
  <c r="N654" i="5" s="1"/>
  <c r="K654" i="5"/>
  <c r="M654" i="5"/>
  <c r="I655" i="5"/>
  <c r="J655" i="5" s="1"/>
  <c r="K655" i="5"/>
  <c r="M655" i="5"/>
  <c r="I656" i="5"/>
  <c r="J656" i="5" s="1"/>
  <c r="K656" i="5"/>
  <c r="M656" i="5"/>
  <c r="I657" i="5"/>
  <c r="J657" i="5" s="1"/>
  <c r="K657" i="5"/>
  <c r="M657" i="5"/>
  <c r="I658" i="5"/>
  <c r="J658" i="5" s="1"/>
  <c r="K658" i="5"/>
  <c r="M658" i="5"/>
  <c r="I659" i="5"/>
  <c r="N659" i="5" s="1"/>
  <c r="K659" i="5"/>
  <c r="M659" i="5"/>
  <c r="I660" i="5"/>
  <c r="J660" i="5" s="1"/>
  <c r="K660" i="5"/>
  <c r="M660" i="5"/>
  <c r="I661" i="5"/>
  <c r="N661" i="5" s="1"/>
  <c r="K661" i="5"/>
  <c r="M661" i="5"/>
  <c r="I662" i="5"/>
  <c r="J662" i="5" s="1"/>
  <c r="K662" i="5"/>
  <c r="M662" i="5"/>
  <c r="I663" i="5"/>
  <c r="J663" i="5" s="1"/>
  <c r="K663" i="5"/>
  <c r="M663" i="5"/>
  <c r="I664" i="5"/>
  <c r="J664" i="5" s="1"/>
  <c r="K664" i="5"/>
  <c r="M664" i="5"/>
  <c r="I665" i="5"/>
  <c r="J665" i="5" s="1"/>
  <c r="K665" i="5"/>
  <c r="M665" i="5"/>
  <c r="I666" i="5"/>
  <c r="J666" i="5" s="1"/>
  <c r="K666" i="5"/>
  <c r="M666" i="5"/>
  <c r="I667" i="5"/>
  <c r="N667" i="5" s="1"/>
  <c r="K667" i="5"/>
  <c r="M667" i="5"/>
  <c r="I668" i="5"/>
  <c r="N668" i="5" s="1"/>
  <c r="K668" i="5"/>
  <c r="M668" i="5"/>
  <c r="I669" i="5"/>
  <c r="J669" i="5" s="1"/>
  <c r="K669" i="5"/>
  <c r="M669" i="5"/>
  <c r="I670" i="5"/>
  <c r="J670" i="5" s="1"/>
  <c r="K670" i="5"/>
  <c r="M670" i="5"/>
  <c r="N670" i="5"/>
  <c r="I671" i="5"/>
  <c r="N671" i="5" s="1"/>
  <c r="K671" i="5"/>
  <c r="M671" i="5"/>
  <c r="I672" i="5"/>
  <c r="J672" i="5" s="1"/>
  <c r="K672" i="5"/>
  <c r="M672" i="5"/>
  <c r="I673" i="5"/>
  <c r="J673" i="5" s="1"/>
  <c r="K673" i="5"/>
  <c r="M673" i="5"/>
  <c r="I674" i="5"/>
  <c r="N674" i="5" s="1"/>
  <c r="K674" i="5"/>
  <c r="M674" i="5"/>
  <c r="I675" i="5"/>
  <c r="J675" i="5" s="1"/>
  <c r="K675" i="5"/>
  <c r="M675" i="5"/>
  <c r="I676" i="5"/>
  <c r="N676" i="5" s="1"/>
  <c r="K676" i="5"/>
  <c r="M676" i="5"/>
  <c r="I677" i="5"/>
  <c r="J677" i="5" s="1"/>
  <c r="K677" i="5"/>
  <c r="M677" i="5"/>
  <c r="I678" i="5"/>
  <c r="J678" i="5" s="1"/>
  <c r="K678" i="5"/>
  <c r="M678" i="5"/>
  <c r="I679" i="5"/>
  <c r="N679" i="5" s="1"/>
  <c r="K679" i="5"/>
  <c r="M679" i="5"/>
  <c r="I680" i="5"/>
  <c r="N680" i="5" s="1"/>
  <c r="K680" i="5"/>
  <c r="M680" i="5"/>
  <c r="I681" i="5"/>
  <c r="J681" i="5" s="1"/>
  <c r="K681" i="5"/>
  <c r="M681" i="5"/>
  <c r="I682" i="5"/>
  <c r="N682" i="5" s="1"/>
  <c r="K682" i="5"/>
  <c r="M682" i="5"/>
  <c r="I683" i="5"/>
  <c r="J683" i="5" s="1"/>
  <c r="K683" i="5"/>
  <c r="M683" i="5"/>
  <c r="I684" i="5"/>
  <c r="J684" i="5" s="1"/>
  <c r="K684" i="5"/>
  <c r="M684" i="5"/>
  <c r="I685" i="5"/>
  <c r="J685" i="5" s="1"/>
  <c r="K685" i="5"/>
  <c r="M685" i="5"/>
  <c r="I686" i="5"/>
  <c r="J686" i="5" s="1"/>
  <c r="K686" i="5"/>
  <c r="M686" i="5"/>
  <c r="I687" i="5"/>
  <c r="N687" i="5" s="1"/>
  <c r="K687" i="5"/>
  <c r="M687" i="5"/>
  <c r="I688" i="5"/>
  <c r="N688" i="5" s="1"/>
  <c r="K688" i="5"/>
  <c r="M688" i="5"/>
  <c r="I689" i="5"/>
  <c r="J689" i="5" s="1"/>
  <c r="K689" i="5"/>
  <c r="M689" i="5"/>
  <c r="I690" i="5"/>
  <c r="N690" i="5" s="1"/>
  <c r="K690" i="5"/>
  <c r="M690" i="5"/>
  <c r="I691" i="5"/>
  <c r="J691" i="5" s="1"/>
  <c r="K691" i="5"/>
  <c r="M691" i="5"/>
  <c r="I692" i="5"/>
  <c r="J692" i="5" s="1"/>
  <c r="K692" i="5"/>
  <c r="M692" i="5"/>
  <c r="I693" i="5"/>
  <c r="J693" i="5" s="1"/>
  <c r="K693" i="5"/>
  <c r="M693" i="5"/>
  <c r="I694" i="5"/>
  <c r="K694" i="5"/>
  <c r="M694" i="5"/>
  <c r="I695" i="5"/>
  <c r="N695" i="5" s="1"/>
  <c r="K695" i="5"/>
  <c r="M695" i="5"/>
  <c r="I696" i="5"/>
  <c r="K696" i="5"/>
  <c r="M696" i="5"/>
  <c r="I697" i="5"/>
  <c r="J697" i="5" s="1"/>
  <c r="K697" i="5"/>
  <c r="M697" i="5"/>
  <c r="I698" i="5"/>
  <c r="N698" i="5" s="1"/>
  <c r="K698" i="5"/>
  <c r="M698" i="5"/>
  <c r="I699" i="5"/>
  <c r="J699" i="5" s="1"/>
  <c r="K699" i="5"/>
  <c r="M699" i="5"/>
  <c r="I700" i="5"/>
  <c r="J700" i="5" s="1"/>
  <c r="K700" i="5"/>
  <c r="M700" i="5"/>
  <c r="I701" i="5"/>
  <c r="K701" i="5"/>
  <c r="M701" i="5"/>
  <c r="I702" i="5"/>
  <c r="J702" i="5" s="1"/>
  <c r="K702" i="5"/>
  <c r="M702" i="5"/>
  <c r="I703" i="5"/>
  <c r="N703" i="5" s="1"/>
  <c r="K703" i="5"/>
  <c r="M703" i="5"/>
  <c r="I704" i="5"/>
  <c r="N704" i="5" s="1"/>
  <c r="K704" i="5"/>
  <c r="M704" i="5"/>
  <c r="I705" i="5"/>
  <c r="J705" i="5" s="1"/>
  <c r="K705" i="5"/>
  <c r="M705" i="5"/>
  <c r="I706" i="5"/>
  <c r="N706" i="5" s="1"/>
  <c r="K706" i="5"/>
  <c r="M706" i="5"/>
  <c r="I707" i="5"/>
  <c r="J707" i="5" s="1"/>
  <c r="K707" i="5"/>
  <c r="M707" i="5"/>
  <c r="I708" i="5"/>
  <c r="N708" i="5" s="1"/>
  <c r="K708" i="5"/>
  <c r="M708" i="5"/>
  <c r="I709" i="5"/>
  <c r="J709" i="5" s="1"/>
  <c r="K709" i="5"/>
  <c r="M709" i="5"/>
  <c r="I710" i="5"/>
  <c r="J710" i="5" s="1"/>
  <c r="K710" i="5"/>
  <c r="M710" i="5"/>
  <c r="I711" i="5"/>
  <c r="N711" i="5" s="1"/>
  <c r="K711" i="5"/>
  <c r="M711" i="5"/>
  <c r="I712" i="5"/>
  <c r="N712" i="5" s="1"/>
  <c r="K712" i="5"/>
  <c r="M712" i="5"/>
  <c r="I713" i="5"/>
  <c r="J713" i="5" s="1"/>
  <c r="K713" i="5"/>
  <c r="M713" i="5"/>
  <c r="I714" i="5"/>
  <c r="N714" i="5" s="1"/>
  <c r="K714" i="5"/>
  <c r="M714" i="5"/>
  <c r="I715" i="5"/>
  <c r="J715" i="5" s="1"/>
  <c r="K715" i="5"/>
  <c r="M715" i="5"/>
  <c r="I716" i="5"/>
  <c r="J716" i="5" s="1"/>
  <c r="K716" i="5"/>
  <c r="M716" i="5"/>
  <c r="I717" i="5"/>
  <c r="J717" i="5" s="1"/>
  <c r="K717" i="5"/>
  <c r="M717" i="5"/>
  <c r="I718" i="5"/>
  <c r="J718" i="5" s="1"/>
  <c r="K718" i="5"/>
  <c r="M718" i="5"/>
  <c r="I719" i="5"/>
  <c r="N719" i="5" s="1"/>
  <c r="K719" i="5"/>
  <c r="M719" i="5"/>
  <c r="I720" i="5"/>
  <c r="N720" i="5" s="1"/>
  <c r="K720" i="5"/>
  <c r="M720" i="5"/>
  <c r="I721" i="5"/>
  <c r="J721" i="5" s="1"/>
  <c r="K721" i="5"/>
  <c r="M721" i="5"/>
  <c r="I722" i="5"/>
  <c r="N722" i="5" s="1"/>
  <c r="K722" i="5"/>
  <c r="M722" i="5"/>
  <c r="I723" i="5"/>
  <c r="J723" i="5" s="1"/>
  <c r="K723" i="5"/>
  <c r="M723" i="5"/>
  <c r="I724" i="5"/>
  <c r="N724" i="5" s="1"/>
  <c r="K724" i="5"/>
  <c r="M724" i="5"/>
  <c r="I725" i="5"/>
  <c r="J725" i="5" s="1"/>
  <c r="K725" i="5"/>
  <c r="M725" i="5"/>
  <c r="I726" i="5"/>
  <c r="J726" i="5" s="1"/>
  <c r="K726" i="5"/>
  <c r="M726" i="5"/>
  <c r="I727" i="5"/>
  <c r="N727" i="5" s="1"/>
  <c r="K727" i="5"/>
  <c r="M727" i="5"/>
  <c r="I728" i="5"/>
  <c r="N728" i="5" s="1"/>
  <c r="K728" i="5"/>
  <c r="M728" i="5"/>
  <c r="I729" i="5"/>
  <c r="J729" i="5" s="1"/>
  <c r="K729" i="5"/>
  <c r="M729" i="5"/>
  <c r="I730" i="5"/>
  <c r="N730" i="5" s="1"/>
  <c r="K730" i="5"/>
  <c r="M730" i="5"/>
  <c r="I731" i="5"/>
  <c r="J731" i="5" s="1"/>
  <c r="K731" i="5"/>
  <c r="M731" i="5"/>
  <c r="I732" i="5"/>
  <c r="J732" i="5" s="1"/>
  <c r="K732" i="5"/>
  <c r="M732" i="5"/>
  <c r="I733" i="5"/>
  <c r="J733" i="5" s="1"/>
  <c r="K733" i="5"/>
  <c r="M733" i="5"/>
  <c r="I734" i="5"/>
  <c r="J734" i="5" s="1"/>
  <c r="K734" i="5"/>
  <c r="M734" i="5"/>
  <c r="I735" i="5"/>
  <c r="N735" i="5" s="1"/>
  <c r="K735" i="5"/>
  <c r="M735" i="5"/>
  <c r="I736" i="5"/>
  <c r="N736" i="5" s="1"/>
  <c r="K736" i="5"/>
  <c r="M736" i="5"/>
  <c r="I737" i="5"/>
  <c r="J737" i="5" s="1"/>
  <c r="K737" i="5"/>
  <c r="M737" i="5"/>
  <c r="I738" i="5"/>
  <c r="N738" i="5" s="1"/>
  <c r="K738" i="5"/>
  <c r="M738" i="5"/>
  <c r="I739" i="5"/>
  <c r="J739" i="5" s="1"/>
  <c r="K739" i="5"/>
  <c r="M739" i="5"/>
  <c r="I740" i="5"/>
  <c r="J740" i="5" s="1"/>
  <c r="K740" i="5"/>
  <c r="M740" i="5"/>
  <c r="I741" i="5"/>
  <c r="J741" i="5" s="1"/>
  <c r="K741" i="5"/>
  <c r="M741" i="5"/>
  <c r="I742" i="5"/>
  <c r="J742" i="5" s="1"/>
  <c r="K742" i="5"/>
  <c r="M742" i="5"/>
  <c r="I743" i="5"/>
  <c r="N743" i="5" s="1"/>
  <c r="K743" i="5"/>
  <c r="M743" i="5"/>
  <c r="I744" i="5"/>
  <c r="N744" i="5" s="1"/>
  <c r="K744" i="5"/>
  <c r="M744" i="5"/>
  <c r="I745" i="5"/>
  <c r="J745" i="5" s="1"/>
  <c r="K745" i="5"/>
  <c r="M745" i="5"/>
  <c r="I746" i="5"/>
  <c r="N746" i="5" s="1"/>
  <c r="K746" i="5"/>
  <c r="M746" i="5"/>
  <c r="I747" i="5"/>
  <c r="J747" i="5" s="1"/>
  <c r="K747" i="5"/>
  <c r="M747" i="5"/>
  <c r="I748" i="5"/>
  <c r="N748" i="5" s="1"/>
  <c r="K748" i="5"/>
  <c r="M748" i="5"/>
  <c r="I749" i="5"/>
  <c r="J749" i="5" s="1"/>
  <c r="K749" i="5"/>
  <c r="M749" i="5"/>
  <c r="I750" i="5"/>
  <c r="J750" i="5" s="1"/>
  <c r="K750" i="5"/>
  <c r="M750" i="5"/>
  <c r="I751" i="5"/>
  <c r="N751" i="5" s="1"/>
  <c r="K751" i="5"/>
  <c r="M751" i="5"/>
  <c r="I752" i="5"/>
  <c r="N752" i="5" s="1"/>
  <c r="K752" i="5"/>
  <c r="M752" i="5"/>
  <c r="I753" i="5"/>
  <c r="J753" i="5" s="1"/>
  <c r="K753" i="5"/>
  <c r="M753" i="5"/>
  <c r="I754" i="5"/>
  <c r="N754" i="5" s="1"/>
  <c r="K754" i="5"/>
  <c r="M754" i="5"/>
  <c r="I755" i="5"/>
  <c r="J755" i="5" s="1"/>
  <c r="K755" i="5"/>
  <c r="M755" i="5"/>
  <c r="I756" i="5"/>
  <c r="N756" i="5" s="1"/>
  <c r="J756" i="5"/>
  <c r="K756" i="5"/>
  <c r="M756" i="5"/>
  <c r="I757" i="5"/>
  <c r="J757" i="5" s="1"/>
  <c r="K757" i="5"/>
  <c r="M757" i="5"/>
  <c r="I758" i="5"/>
  <c r="J758" i="5" s="1"/>
  <c r="K758" i="5"/>
  <c r="M758" i="5"/>
  <c r="I759" i="5"/>
  <c r="N759" i="5" s="1"/>
  <c r="K759" i="5"/>
  <c r="M759" i="5"/>
  <c r="I760" i="5"/>
  <c r="N760" i="5" s="1"/>
  <c r="K760" i="5"/>
  <c r="M760" i="5"/>
  <c r="I761" i="5"/>
  <c r="J761" i="5" s="1"/>
  <c r="K761" i="5"/>
  <c r="M761" i="5"/>
  <c r="I762" i="5"/>
  <c r="N762" i="5" s="1"/>
  <c r="K762" i="5"/>
  <c r="M762" i="5"/>
  <c r="I763" i="5"/>
  <c r="J763" i="5" s="1"/>
  <c r="K763" i="5"/>
  <c r="M763" i="5"/>
  <c r="I764" i="5"/>
  <c r="J764" i="5" s="1"/>
  <c r="K764" i="5"/>
  <c r="M764" i="5"/>
  <c r="I765" i="5"/>
  <c r="J765" i="5" s="1"/>
  <c r="K765" i="5"/>
  <c r="M765" i="5"/>
  <c r="I766" i="5"/>
  <c r="J766" i="5" s="1"/>
  <c r="K766" i="5"/>
  <c r="M766" i="5"/>
  <c r="I767" i="5"/>
  <c r="N767" i="5" s="1"/>
  <c r="K767" i="5"/>
  <c r="M767" i="5"/>
  <c r="I768" i="5"/>
  <c r="J768" i="5" s="1"/>
  <c r="K768" i="5"/>
  <c r="M768" i="5"/>
  <c r="I769" i="5"/>
  <c r="J769" i="5" s="1"/>
  <c r="K769" i="5"/>
  <c r="M769" i="5"/>
  <c r="I770" i="5"/>
  <c r="N770" i="5" s="1"/>
  <c r="K770" i="5"/>
  <c r="M770" i="5"/>
  <c r="I771" i="5"/>
  <c r="J771" i="5" s="1"/>
  <c r="K771" i="5"/>
  <c r="M771" i="5"/>
  <c r="I772" i="5"/>
  <c r="N772" i="5" s="1"/>
  <c r="K772" i="5"/>
  <c r="M772" i="5"/>
  <c r="I773" i="5"/>
  <c r="J773" i="5" s="1"/>
  <c r="K773" i="5"/>
  <c r="M773" i="5"/>
  <c r="I774" i="5"/>
  <c r="J774" i="5" s="1"/>
  <c r="K774" i="5"/>
  <c r="M774" i="5"/>
  <c r="I775" i="5"/>
  <c r="N775" i="5" s="1"/>
  <c r="K775" i="5"/>
  <c r="M775" i="5"/>
  <c r="I776" i="5"/>
  <c r="N776" i="5" s="1"/>
  <c r="K776" i="5"/>
  <c r="M776" i="5"/>
  <c r="I777" i="5"/>
  <c r="J777" i="5" s="1"/>
  <c r="K777" i="5"/>
  <c r="M777" i="5"/>
  <c r="I778" i="5"/>
  <c r="N778" i="5" s="1"/>
  <c r="K778" i="5"/>
  <c r="M778" i="5"/>
  <c r="I779" i="5"/>
  <c r="J779" i="5" s="1"/>
  <c r="K779" i="5"/>
  <c r="M779" i="5"/>
  <c r="I780" i="5"/>
  <c r="J780" i="5" s="1"/>
  <c r="K780" i="5"/>
  <c r="M780" i="5"/>
  <c r="I781" i="5"/>
  <c r="J781" i="5" s="1"/>
  <c r="K781" i="5"/>
  <c r="M781" i="5"/>
  <c r="I782" i="5"/>
  <c r="J782" i="5" s="1"/>
  <c r="K782" i="5"/>
  <c r="M782" i="5"/>
  <c r="I783" i="5"/>
  <c r="N783" i="5" s="1"/>
  <c r="K783" i="5"/>
  <c r="M783" i="5"/>
  <c r="I784" i="5"/>
  <c r="J784" i="5" s="1"/>
  <c r="K784" i="5"/>
  <c r="M784" i="5"/>
  <c r="I785" i="5"/>
  <c r="J785" i="5" s="1"/>
  <c r="K785" i="5"/>
  <c r="M785" i="5"/>
  <c r="I786" i="5"/>
  <c r="N786" i="5" s="1"/>
  <c r="K786" i="5"/>
  <c r="M786" i="5"/>
  <c r="I787" i="5"/>
  <c r="J787" i="5" s="1"/>
  <c r="K787" i="5"/>
  <c r="M787" i="5"/>
  <c r="I788" i="5"/>
  <c r="J788" i="5" s="1"/>
  <c r="K788" i="5"/>
  <c r="M788" i="5"/>
  <c r="I789" i="5"/>
  <c r="J789" i="5" s="1"/>
  <c r="K789" i="5"/>
  <c r="M789" i="5"/>
  <c r="I790" i="5"/>
  <c r="J790" i="5" s="1"/>
  <c r="K790" i="5"/>
  <c r="M790" i="5"/>
  <c r="I791" i="5"/>
  <c r="N791" i="5" s="1"/>
  <c r="K791" i="5"/>
  <c r="M791" i="5"/>
  <c r="I792" i="5"/>
  <c r="N792" i="5" s="1"/>
  <c r="K792" i="5"/>
  <c r="M792" i="5"/>
  <c r="I793" i="5"/>
  <c r="N793" i="5" s="1"/>
  <c r="K793" i="5"/>
  <c r="M793" i="5"/>
  <c r="I794" i="5"/>
  <c r="N794" i="5" s="1"/>
  <c r="K794" i="5"/>
  <c r="M794" i="5"/>
  <c r="I795" i="5"/>
  <c r="J795" i="5" s="1"/>
  <c r="K795" i="5"/>
  <c r="M795" i="5"/>
  <c r="I796" i="5"/>
  <c r="N796" i="5" s="1"/>
  <c r="K796" i="5"/>
  <c r="M796" i="5"/>
  <c r="I797" i="5"/>
  <c r="J797" i="5" s="1"/>
  <c r="K797" i="5"/>
  <c r="M797" i="5"/>
  <c r="I798" i="5"/>
  <c r="J798" i="5" s="1"/>
  <c r="K798" i="5"/>
  <c r="M798" i="5"/>
  <c r="I799" i="5"/>
  <c r="N799" i="5" s="1"/>
  <c r="K799" i="5"/>
  <c r="M799" i="5"/>
  <c r="I800" i="5"/>
  <c r="N800" i="5" s="1"/>
  <c r="K800" i="5"/>
  <c r="M800" i="5"/>
  <c r="I801" i="5"/>
  <c r="N801" i="5" s="1"/>
  <c r="K801" i="5"/>
  <c r="M801" i="5"/>
  <c r="I802" i="5"/>
  <c r="N802" i="5" s="1"/>
  <c r="K802" i="5"/>
  <c r="M802" i="5"/>
  <c r="I803" i="5"/>
  <c r="J803" i="5" s="1"/>
  <c r="K803" i="5"/>
  <c r="M803" i="5"/>
  <c r="I804" i="5"/>
  <c r="N804" i="5" s="1"/>
  <c r="K804" i="5"/>
  <c r="M804" i="5"/>
  <c r="I805" i="5"/>
  <c r="J805" i="5" s="1"/>
  <c r="K805" i="5"/>
  <c r="M805" i="5"/>
  <c r="N662" i="5" l="1"/>
  <c r="J748" i="5"/>
  <c r="J89" i="5"/>
  <c r="J584" i="5"/>
  <c r="J188" i="5"/>
  <c r="J520" i="5"/>
  <c r="J640" i="5"/>
  <c r="J512" i="5"/>
  <c r="J370" i="5"/>
  <c r="J83" i="5"/>
  <c r="N529" i="5"/>
  <c r="J754" i="5"/>
  <c r="N552" i="5"/>
  <c r="J360" i="5"/>
  <c r="N344" i="5"/>
  <c r="J217" i="5"/>
  <c r="J100" i="5"/>
  <c r="J49" i="5"/>
  <c r="J185" i="5"/>
  <c r="J84" i="5"/>
  <c r="J41" i="5"/>
  <c r="N725" i="5"/>
  <c r="J724" i="5"/>
  <c r="J177" i="5"/>
  <c r="J621" i="5"/>
  <c r="J493" i="5"/>
  <c r="N53" i="5"/>
  <c r="N377" i="5"/>
  <c r="N358" i="5"/>
  <c r="J796" i="5"/>
  <c r="J752" i="5"/>
  <c r="N685" i="5"/>
  <c r="N656" i="5"/>
  <c r="N633" i="5"/>
  <c r="J576" i="5"/>
  <c r="N574" i="5"/>
  <c r="N393" i="5"/>
  <c r="J75" i="5"/>
  <c r="J56" i="5"/>
  <c r="N625" i="5"/>
  <c r="J414" i="5"/>
  <c r="N256" i="5"/>
  <c r="J203" i="5"/>
  <c r="J139" i="5"/>
  <c r="N456" i="5"/>
  <c r="N240" i="5"/>
  <c r="N132" i="5"/>
  <c r="J674" i="5"/>
  <c r="J668" i="5"/>
  <c r="N660" i="5"/>
  <c r="J650" i="5"/>
  <c r="J390" i="5"/>
  <c r="J315" i="5"/>
  <c r="J288" i="5"/>
  <c r="N144" i="5"/>
  <c r="N141" i="5"/>
  <c r="N27" i="5"/>
  <c r="J608" i="5"/>
  <c r="J597" i="5"/>
  <c r="J594" i="5"/>
  <c r="J486" i="5"/>
  <c r="J329" i="5"/>
  <c r="J179" i="5"/>
  <c r="J43" i="5"/>
  <c r="N780" i="5"/>
  <c r="J654" i="5"/>
  <c r="J147" i="5"/>
  <c r="N677" i="5"/>
  <c r="N544" i="5"/>
  <c r="N513" i="5"/>
  <c r="N301" i="5"/>
  <c r="J794" i="5"/>
  <c r="N716" i="5"/>
  <c r="J676" i="5"/>
  <c r="J629" i="5"/>
  <c r="J626" i="5"/>
  <c r="J614" i="5"/>
  <c r="N448" i="5"/>
  <c r="J321" i="5"/>
  <c r="N164" i="5"/>
  <c r="N36" i="5"/>
  <c r="N773" i="5"/>
  <c r="N248" i="5"/>
  <c r="N245" i="5"/>
  <c r="N196" i="5"/>
  <c r="N805" i="5"/>
  <c r="J804" i="5"/>
  <c r="J801" i="5"/>
  <c r="N790" i="5"/>
  <c r="N692" i="5"/>
  <c r="N593" i="5"/>
  <c r="J533" i="5"/>
  <c r="J530" i="5"/>
  <c r="N385" i="5"/>
  <c r="J313" i="5"/>
  <c r="J307" i="5"/>
  <c r="N208" i="5"/>
  <c r="N205" i="5"/>
  <c r="J770" i="5"/>
  <c r="N740" i="5"/>
  <c r="J722" i="5"/>
  <c r="N577" i="5"/>
  <c r="J454" i="5"/>
  <c r="N309" i="5"/>
  <c r="N280" i="5"/>
  <c r="N277" i="5"/>
  <c r="N237" i="5"/>
  <c r="J184" i="5"/>
  <c r="J153" i="5"/>
  <c r="J124" i="5"/>
  <c r="J121" i="5"/>
  <c r="J99" i="5"/>
  <c r="J60" i="5"/>
  <c r="J57" i="5"/>
  <c r="J469" i="5"/>
  <c r="J466" i="5"/>
  <c r="J424" i="5"/>
  <c r="J323" i="5"/>
  <c r="J305" i="5"/>
  <c r="J299" i="5"/>
  <c r="J268" i="5"/>
  <c r="J265" i="5"/>
  <c r="J236" i="5"/>
  <c r="J233" i="5"/>
  <c r="J211" i="5"/>
  <c r="J17" i="5"/>
  <c r="N750" i="5"/>
  <c r="N638" i="5"/>
  <c r="N345" i="5"/>
  <c r="N80" i="5"/>
  <c r="N64" i="5"/>
  <c r="J32" i="5"/>
  <c r="J11" i="5"/>
  <c r="N789" i="5"/>
  <c r="N781" i="5"/>
  <c r="N757" i="5"/>
  <c r="N733" i="5"/>
  <c r="J698" i="5"/>
  <c r="J616" i="5"/>
  <c r="J606" i="5"/>
  <c r="J582" i="5"/>
  <c r="J542" i="5"/>
  <c r="J518" i="5"/>
  <c r="J488" i="5"/>
  <c r="N457" i="5"/>
  <c r="N441" i="5"/>
  <c r="J437" i="5"/>
  <c r="J434" i="5"/>
  <c r="J392" i="5"/>
  <c r="J365" i="5"/>
  <c r="J362" i="5"/>
  <c r="N212" i="5"/>
  <c r="N197" i="5"/>
  <c r="J192" i="5"/>
  <c r="N148" i="5"/>
  <c r="N133" i="5"/>
  <c r="J128" i="5"/>
  <c r="J115" i="5"/>
  <c r="N77" i="5"/>
  <c r="N61" i="5"/>
  <c r="N19" i="5"/>
  <c r="N700" i="5"/>
  <c r="N550" i="5"/>
  <c r="N384" i="5"/>
  <c r="N272" i="5"/>
  <c r="N224" i="5"/>
  <c r="N160" i="5"/>
  <c r="N120" i="5"/>
  <c r="N96" i="5"/>
  <c r="N68" i="5"/>
  <c r="N4" i="5"/>
  <c r="J760" i="5"/>
  <c r="N758" i="5"/>
  <c r="J720" i="5"/>
  <c r="N718" i="5"/>
  <c r="J708" i="5"/>
  <c r="J690" i="5"/>
  <c r="N664" i="5"/>
  <c r="N585" i="5"/>
  <c r="N521" i="5"/>
  <c r="N505" i="5"/>
  <c r="J501" i="5"/>
  <c r="J498" i="5"/>
  <c r="J429" i="5"/>
  <c r="J426" i="5"/>
  <c r="J405" i="5"/>
  <c r="J402" i="5"/>
  <c r="J297" i="5"/>
  <c r="N269" i="5"/>
  <c r="N117" i="5"/>
  <c r="N20" i="5"/>
  <c r="N569" i="5"/>
  <c r="J565" i="5"/>
  <c r="J562" i="5"/>
  <c r="N317" i="5"/>
  <c r="N181" i="5"/>
  <c r="J113" i="5"/>
  <c r="N72" i="5"/>
  <c r="N69" i="5"/>
  <c r="N8" i="5"/>
  <c r="N5" i="5"/>
  <c r="J800" i="5"/>
  <c r="N798" i="5"/>
  <c r="N774" i="5"/>
  <c r="N765" i="5"/>
  <c r="J728" i="5"/>
  <c r="N726" i="5"/>
  <c r="J706" i="5"/>
  <c r="N678" i="5"/>
  <c r="J667" i="5"/>
  <c r="J557" i="5"/>
  <c r="J554" i="5"/>
  <c r="N449" i="5"/>
  <c r="N401" i="5"/>
  <c r="N330" i="5"/>
  <c r="N189" i="5"/>
  <c r="N125" i="5"/>
  <c r="N12" i="5"/>
  <c r="N610" i="5"/>
  <c r="J610" i="5"/>
  <c r="N598" i="5"/>
  <c r="J598" i="5"/>
  <c r="N589" i="5"/>
  <c r="J589" i="5"/>
  <c r="J561" i="5"/>
  <c r="N561" i="5"/>
  <c r="N525" i="5"/>
  <c r="J525" i="5"/>
  <c r="J416" i="5"/>
  <c r="N416" i="5"/>
  <c r="J353" i="5"/>
  <c r="N353" i="5"/>
  <c r="J793" i="5"/>
  <c r="N749" i="5"/>
  <c r="J744" i="5"/>
  <c r="N742" i="5"/>
  <c r="N717" i="5"/>
  <c r="J712" i="5"/>
  <c r="N710" i="5"/>
  <c r="J682" i="5"/>
  <c r="N663" i="5"/>
  <c r="N649" i="5"/>
  <c r="J645" i="5"/>
  <c r="J642" i="5"/>
  <c r="N632" i="5"/>
  <c r="J632" i="5"/>
  <c r="N613" i="5"/>
  <c r="J613" i="5"/>
  <c r="J601" i="5"/>
  <c r="N601" i="5"/>
  <c r="N546" i="5"/>
  <c r="J546" i="5"/>
  <c r="J537" i="5"/>
  <c r="N537" i="5"/>
  <c r="J446" i="5"/>
  <c r="N446" i="5"/>
  <c r="J220" i="5"/>
  <c r="N220" i="5"/>
  <c r="J786" i="5"/>
  <c r="J776" i="5"/>
  <c r="J772" i="5"/>
  <c r="J762" i="5"/>
  <c r="J730" i="5"/>
  <c r="N684" i="5"/>
  <c r="J648" i="5"/>
  <c r="N648" i="5"/>
  <c r="N549" i="5"/>
  <c r="J549" i="5"/>
  <c r="J480" i="5"/>
  <c r="N480" i="5"/>
  <c r="J331" i="5"/>
  <c r="N331" i="5"/>
  <c r="N788" i="5"/>
  <c r="N764" i="5"/>
  <c r="N696" i="5"/>
  <c r="J696" i="5"/>
  <c r="J630" i="5"/>
  <c r="N630" i="5"/>
  <c r="N568" i="5"/>
  <c r="J568" i="5"/>
  <c r="J510" i="5"/>
  <c r="N510" i="5"/>
  <c r="N394" i="5"/>
  <c r="J394" i="5"/>
  <c r="J342" i="5"/>
  <c r="N342" i="5"/>
  <c r="N209" i="5"/>
  <c r="J209" i="5"/>
  <c r="N803" i="5"/>
  <c r="N732" i="5"/>
  <c r="J802" i="5"/>
  <c r="N782" i="5"/>
  <c r="J738" i="5"/>
  <c r="J680" i="5"/>
  <c r="J652" i="5"/>
  <c r="N652" i="5"/>
  <c r="N646" i="5"/>
  <c r="J646" i="5"/>
  <c r="N397" i="5"/>
  <c r="J397" i="5"/>
  <c r="N346" i="5"/>
  <c r="J346" i="5"/>
  <c r="N281" i="5"/>
  <c r="J281" i="5"/>
  <c r="J694" i="5"/>
  <c r="N694" i="5"/>
  <c r="N458" i="5"/>
  <c r="J458" i="5"/>
  <c r="J409" i="5"/>
  <c r="N409" i="5"/>
  <c r="N349" i="5"/>
  <c r="J349" i="5"/>
  <c r="J284" i="5"/>
  <c r="N284" i="5"/>
  <c r="J213" i="5"/>
  <c r="N213" i="5"/>
  <c r="N797" i="5"/>
  <c r="J746" i="5"/>
  <c r="J714" i="5"/>
  <c r="J704" i="5"/>
  <c r="N702" i="5"/>
  <c r="J688" i="5"/>
  <c r="N686" i="5"/>
  <c r="N669" i="5"/>
  <c r="J653" i="5"/>
  <c r="J600" i="5"/>
  <c r="N600" i="5"/>
  <c r="N461" i="5"/>
  <c r="J461" i="5"/>
  <c r="J335" i="5"/>
  <c r="N335" i="5"/>
  <c r="N249" i="5"/>
  <c r="J249" i="5"/>
  <c r="J216" i="5"/>
  <c r="N216" i="5"/>
  <c r="J792" i="5"/>
  <c r="J778" i="5"/>
  <c r="N766" i="5"/>
  <c r="N741" i="5"/>
  <c r="J736" i="5"/>
  <c r="N734" i="5"/>
  <c r="N709" i="5"/>
  <c r="J701" i="5"/>
  <c r="N701" i="5"/>
  <c r="N693" i="5"/>
  <c r="N586" i="5"/>
  <c r="J586" i="5"/>
  <c r="N522" i="5"/>
  <c r="J522" i="5"/>
  <c r="J473" i="5"/>
  <c r="N473" i="5"/>
  <c r="J382" i="5"/>
  <c r="N382" i="5"/>
  <c r="J252" i="5"/>
  <c r="N252" i="5"/>
  <c r="J624" i="5"/>
  <c r="N622" i="5"/>
  <c r="J605" i="5"/>
  <c r="J602" i="5"/>
  <c r="N592" i="5"/>
  <c r="J590" i="5"/>
  <c r="J560" i="5"/>
  <c r="N558" i="5"/>
  <c r="J541" i="5"/>
  <c r="J538" i="5"/>
  <c r="N528" i="5"/>
  <c r="J526" i="5"/>
  <c r="J496" i="5"/>
  <c r="N494" i="5"/>
  <c r="J477" i="5"/>
  <c r="J474" i="5"/>
  <c r="N464" i="5"/>
  <c r="J462" i="5"/>
  <c r="J432" i="5"/>
  <c r="N430" i="5"/>
  <c r="J413" i="5"/>
  <c r="J410" i="5"/>
  <c r="N400" i="5"/>
  <c r="J398" i="5"/>
  <c r="J368" i="5"/>
  <c r="N366" i="5"/>
  <c r="J357" i="5"/>
  <c r="J354" i="5"/>
  <c r="J332" i="5"/>
  <c r="J324" i="5"/>
  <c r="J292" i="5"/>
  <c r="J289" i="5"/>
  <c r="N276" i="5"/>
  <c r="J260" i="5"/>
  <c r="J257" i="5"/>
  <c r="N244" i="5"/>
  <c r="J228" i="5"/>
  <c r="J225" i="5"/>
  <c r="N204" i="5"/>
  <c r="N200" i="5"/>
  <c r="J187" i="5"/>
  <c r="J172" i="5"/>
  <c r="J168" i="5"/>
  <c r="J161" i="5"/>
  <c r="N140" i="5"/>
  <c r="N136" i="5"/>
  <c r="J123" i="5"/>
  <c r="J108" i="5"/>
  <c r="J104" i="5"/>
  <c r="J97" i="5"/>
  <c r="N76" i="5"/>
  <c r="J59" i="5"/>
  <c r="J51" i="5"/>
  <c r="J44" i="5"/>
  <c r="J40" i="5"/>
  <c r="J25" i="5"/>
  <c r="N566" i="5"/>
  <c r="N536" i="5"/>
  <c r="J534" i="5"/>
  <c r="J504" i="5"/>
  <c r="N502" i="5"/>
  <c r="J485" i="5"/>
  <c r="J482" i="5"/>
  <c r="N472" i="5"/>
  <c r="J470" i="5"/>
  <c r="J440" i="5"/>
  <c r="N438" i="5"/>
  <c r="J421" i="5"/>
  <c r="J418" i="5"/>
  <c r="N408" i="5"/>
  <c r="J406" i="5"/>
  <c r="J376" i="5"/>
  <c r="N374" i="5"/>
  <c r="J337" i="5"/>
  <c r="J328" i="5"/>
  <c r="J320" i="5"/>
  <c r="J316" i="5"/>
  <c r="J312" i="5"/>
  <c r="J308" i="5"/>
  <c r="J304" i="5"/>
  <c r="J300" i="5"/>
  <c r="J296" i="5"/>
  <c r="J264" i="5"/>
  <c r="J232" i="5"/>
  <c r="J195" i="5"/>
  <c r="J180" i="5"/>
  <c r="J176" i="5"/>
  <c r="J169" i="5"/>
  <c r="J131" i="5"/>
  <c r="J116" i="5"/>
  <c r="J112" i="5"/>
  <c r="J105" i="5"/>
  <c r="J67" i="5"/>
  <c r="J52" i="5"/>
  <c r="J48" i="5"/>
  <c r="J33" i="5"/>
  <c r="N156" i="5"/>
  <c r="N152" i="5"/>
  <c r="N92" i="5"/>
  <c r="N88" i="5"/>
  <c r="N35" i="5"/>
  <c r="N28" i="5"/>
  <c r="N13" i="5"/>
  <c r="N149" i="5"/>
  <c r="N85" i="5"/>
  <c r="N21" i="5"/>
  <c r="N658" i="5"/>
  <c r="J637" i="5"/>
  <c r="J634" i="5"/>
  <c r="N609" i="5"/>
  <c r="J573" i="5"/>
  <c r="J570" i="5"/>
  <c r="N545" i="5"/>
  <c r="J509" i="5"/>
  <c r="J506" i="5"/>
  <c r="N481" i="5"/>
  <c r="J445" i="5"/>
  <c r="J442" i="5"/>
  <c r="N417" i="5"/>
  <c r="J381" i="5"/>
  <c r="J378" i="5"/>
  <c r="J341" i="5"/>
  <c r="N336" i="5"/>
  <c r="J334" i="5"/>
  <c r="N319" i="5"/>
  <c r="N311" i="5"/>
  <c r="N303" i="5"/>
  <c r="N285" i="5"/>
  <c r="J273" i="5"/>
  <c r="N253" i="5"/>
  <c r="J241" i="5"/>
  <c r="N221" i="5"/>
  <c r="J219" i="5"/>
  <c r="J193" i="5"/>
  <c r="N157" i="5"/>
  <c r="J155" i="5"/>
  <c r="J129" i="5"/>
  <c r="N93" i="5"/>
  <c r="J91" i="5"/>
  <c r="J65" i="5"/>
  <c r="N29" i="5"/>
  <c r="N617" i="5"/>
  <c r="J581" i="5"/>
  <c r="J578" i="5"/>
  <c r="N553" i="5"/>
  <c r="J517" i="5"/>
  <c r="J514" i="5"/>
  <c r="N489" i="5"/>
  <c r="J453" i="5"/>
  <c r="J450" i="5"/>
  <c r="N425" i="5"/>
  <c r="J389" i="5"/>
  <c r="J386" i="5"/>
  <c r="N361" i="5"/>
  <c r="N350" i="5"/>
  <c r="J201" i="5"/>
  <c r="N165" i="5"/>
  <c r="J163" i="5"/>
  <c r="J137" i="5"/>
  <c r="N101" i="5"/>
  <c r="J73" i="5"/>
  <c r="N37" i="5"/>
  <c r="J16" i="5"/>
  <c r="J9" i="5"/>
  <c r="N497" i="5"/>
  <c r="N433" i="5"/>
  <c r="N369" i="5"/>
  <c r="N325" i="5"/>
  <c r="N293" i="5"/>
  <c r="N261" i="5"/>
  <c r="N229" i="5"/>
  <c r="N173" i="5"/>
  <c r="J171" i="5"/>
  <c r="J145" i="5"/>
  <c r="N109" i="5"/>
  <c r="J107" i="5"/>
  <c r="J81" i="5"/>
  <c r="N45" i="5"/>
  <c r="J24" i="5"/>
  <c r="N784" i="5"/>
  <c r="N768" i="5"/>
  <c r="N672" i="5"/>
  <c r="N665" i="5"/>
  <c r="N785" i="5"/>
  <c r="N777" i="5"/>
  <c r="N769" i="5"/>
  <c r="N761" i="5"/>
  <c r="N753" i="5"/>
  <c r="N745" i="5"/>
  <c r="N737" i="5"/>
  <c r="N729" i="5"/>
  <c r="N721" i="5"/>
  <c r="N713" i="5"/>
  <c r="N705" i="5"/>
  <c r="N697" i="5"/>
  <c r="N689" i="5"/>
  <c r="N681" i="5"/>
  <c r="N673" i="5"/>
  <c r="N666" i="5"/>
  <c r="N655" i="5"/>
  <c r="J644" i="5"/>
  <c r="J636" i="5"/>
  <c r="J628" i="5"/>
  <c r="J620" i="5"/>
  <c r="N620" i="5"/>
  <c r="J659" i="5"/>
  <c r="J799" i="5"/>
  <c r="N795" i="5"/>
  <c r="J791" i="5"/>
  <c r="N787" i="5"/>
  <c r="J783" i="5"/>
  <c r="N779" i="5"/>
  <c r="J775" i="5"/>
  <c r="N771" i="5"/>
  <c r="J767" i="5"/>
  <c r="N763" i="5"/>
  <c r="J759" i="5"/>
  <c r="N755" i="5"/>
  <c r="J751" i="5"/>
  <c r="N747" i="5"/>
  <c r="J743" i="5"/>
  <c r="N739" i="5"/>
  <c r="J735" i="5"/>
  <c r="N731" i="5"/>
  <c r="J727" i="5"/>
  <c r="N723" i="5"/>
  <c r="J719" i="5"/>
  <c r="N715" i="5"/>
  <c r="J711" i="5"/>
  <c r="N707" i="5"/>
  <c r="J703" i="5"/>
  <c r="N699" i="5"/>
  <c r="J695" i="5"/>
  <c r="N691" i="5"/>
  <c r="J687" i="5"/>
  <c r="N683" i="5"/>
  <c r="J679" i="5"/>
  <c r="N675" i="5"/>
  <c r="J671" i="5"/>
  <c r="N657" i="5"/>
  <c r="J661" i="5"/>
  <c r="J651" i="5"/>
  <c r="N651" i="5"/>
  <c r="N647" i="5"/>
  <c r="J647" i="5"/>
  <c r="J643" i="5"/>
  <c r="N643" i="5"/>
  <c r="N641" i="5"/>
  <c r="J635" i="5"/>
  <c r="N635" i="5"/>
  <c r="J627" i="5"/>
  <c r="N627" i="5"/>
  <c r="N338" i="5"/>
  <c r="J295" i="5"/>
  <c r="N295" i="5"/>
  <c r="J263" i="5"/>
  <c r="N263" i="5"/>
  <c r="J231" i="5"/>
  <c r="N231" i="5"/>
  <c r="J639" i="5"/>
  <c r="J631" i="5"/>
  <c r="J623" i="5"/>
  <c r="N619" i="5"/>
  <c r="J615" i="5"/>
  <c r="N611" i="5"/>
  <c r="J607" i="5"/>
  <c r="N603" i="5"/>
  <c r="J599" i="5"/>
  <c r="N595" i="5"/>
  <c r="J591" i="5"/>
  <c r="N587" i="5"/>
  <c r="J583" i="5"/>
  <c r="N579" i="5"/>
  <c r="J575" i="5"/>
  <c r="N571" i="5"/>
  <c r="J567" i="5"/>
  <c r="N563" i="5"/>
  <c r="J559" i="5"/>
  <c r="N555" i="5"/>
  <c r="J551" i="5"/>
  <c r="N547" i="5"/>
  <c r="J543" i="5"/>
  <c r="N539" i="5"/>
  <c r="J535" i="5"/>
  <c r="N531" i="5"/>
  <c r="J527" i="5"/>
  <c r="N523" i="5"/>
  <c r="J519" i="5"/>
  <c r="N515" i="5"/>
  <c r="J511" i="5"/>
  <c r="N507" i="5"/>
  <c r="J503" i="5"/>
  <c r="N499" i="5"/>
  <c r="J495" i="5"/>
  <c r="N491" i="5"/>
  <c r="J487" i="5"/>
  <c r="N483" i="5"/>
  <c r="J479" i="5"/>
  <c r="N475" i="5"/>
  <c r="J471" i="5"/>
  <c r="N467" i="5"/>
  <c r="J463" i="5"/>
  <c r="N459" i="5"/>
  <c r="J455" i="5"/>
  <c r="N451" i="5"/>
  <c r="J447" i="5"/>
  <c r="N443" i="5"/>
  <c r="J439" i="5"/>
  <c r="N435" i="5"/>
  <c r="J431" i="5"/>
  <c r="N427" i="5"/>
  <c r="J423" i="5"/>
  <c r="N419" i="5"/>
  <c r="J415" i="5"/>
  <c r="N411" i="5"/>
  <c r="J407" i="5"/>
  <c r="N403" i="5"/>
  <c r="J399" i="5"/>
  <c r="N395" i="5"/>
  <c r="J391" i="5"/>
  <c r="N387" i="5"/>
  <c r="J383" i="5"/>
  <c r="N379" i="5"/>
  <c r="J375" i="5"/>
  <c r="N371" i="5"/>
  <c r="J367" i="5"/>
  <c r="N363" i="5"/>
  <c r="J359" i="5"/>
  <c r="N355" i="5"/>
  <c r="J351" i="5"/>
  <c r="N347" i="5"/>
  <c r="J343" i="5"/>
  <c r="N339" i="5"/>
  <c r="N612" i="5"/>
  <c r="N604" i="5"/>
  <c r="N596" i="5"/>
  <c r="N588" i="5"/>
  <c r="N580" i="5"/>
  <c r="N572" i="5"/>
  <c r="N564" i="5"/>
  <c r="N556" i="5"/>
  <c r="N548" i="5"/>
  <c r="N540" i="5"/>
  <c r="N532" i="5"/>
  <c r="N524" i="5"/>
  <c r="N516" i="5"/>
  <c r="N508" i="5"/>
  <c r="N500" i="5"/>
  <c r="N492" i="5"/>
  <c r="N484" i="5"/>
  <c r="N476" i="5"/>
  <c r="N468" i="5"/>
  <c r="N460" i="5"/>
  <c r="N452" i="5"/>
  <c r="N444" i="5"/>
  <c r="N436" i="5"/>
  <c r="N428" i="5"/>
  <c r="N420" i="5"/>
  <c r="N412" i="5"/>
  <c r="N404" i="5"/>
  <c r="N396" i="5"/>
  <c r="N388" i="5"/>
  <c r="N380" i="5"/>
  <c r="N372" i="5"/>
  <c r="N364" i="5"/>
  <c r="N356" i="5"/>
  <c r="N348" i="5"/>
  <c r="N340" i="5"/>
  <c r="N333" i="5"/>
  <c r="N327" i="5"/>
  <c r="J271" i="5"/>
  <c r="N271" i="5"/>
  <c r="J239" i="5"/>
  <c r="N239" i="5"/>
  <c r="J191" i="5"/>
  <c r="N191" i="5"/>
  <c r="J199" i="5"/>
  <c r="N199" i="5"/>
  <c r="J326" i="5"/>
  <c r="J279" i="5"/>
  <c r="N279" i="5"/>
  <c r="J247" i="5"/>
  <c r="N247" i="5"/>
  <c r="J207" i="5"/>
  <c r="N207" i="5"/>
  <c r="J215" i="5"/>
  <c r="N215" i="5"/>
  <c r="J322" i="5"/>
  <c r="N322" i="5"/>
  <c r="J314" i="5"/>
  <c r="N314" i="5"/>
  <c r="J306" i="5"/>
  <c r="N306" i="5"/>
  <c r="J298" i="5"/>
  <c r="N298" i="5"/>
  <c r="J287" i="5"/>
  <c r="N287" i="5"/>
  <c r="J255" i="5"/>
  <c r="N255" i="5"/>
  <c r="J223" i="5"/>
  <c r="N223" i="5"/>
  <c r="N291" i="5"/>
  <c r="J291" i="5"/>
  <c r="J283" i="5"/>
  <c r="J275" i="5"/>
  <c r="J267" i="5"/>
  <c r="J259" i="5"/>
  <c r="J251" i="5"/>
  <c r="J243" i="5"/>
  <c r="J235" i="5"/>
  <c r="J227" i="5"/>
  <c r="N183" i="5"/>
  <c r="N175" i="5"/>
  <c r="N167" i="5"/>
  <c r="N159" i="5"/>
  <c r="N151" i="5"/>
  <c r="N143" i="5"/>
  <c r="N135" i="5"/>
  <c r="N127" i="5"/>
  <c r="N119" i="5"/>
  <c r="N111" i="5"/>
  <c r="N103" i="5"/>
  <c r="N95" i="5"/>
  <c r="N87" i="5"/>
  <c r="N79" i="5"/>
  <c r="N71" i="5"/>
  <c r="N63" i="5"/>
  <c r="N55" i="5"/>
  <c r="N47" i="5"/>
  <c r="N39" i="5"/>
  <c r="N31" i="5"/>
  <c r="N23" i="5"/>
  <c r="N15" i="5"/>
  <c r="J6" i="5"/>
  <c r="N2" i="5"/>
  <c r="J318" i="5"/>
  <c r="J310" i="5"/>
  <c r="J302" i="5"/>
  <c r="J294" i="5"/>
  <c r="N290" i="5"/>
  <c r="J286" i="5"/>
  <c r="N282" i="5"/>
  <c r="J278" i="5"/>
  <c r="N274" i="5"/>
  <c r="J270" i="5"/>
  <c r="N266" i="5"/>
  <c r="J262" i="5"/>
  <c r="N258" i="5"/>
  <c r="J254" i="5"/>
  <c r="N250" i="5"/>
  <c r="J246" i="5"/>
  <c r="N242" i="5"/>
  <c r="J238" i="5"/>
  <c r="N234" i="5"/>
  <c r="J230" i="5"/>
  <c r="N226" i="5"/>
  <c r="J222" i="5"/>
  <c r="N218" i="5"/>
  <c r="J214" i="5"/>
  <c r="N210" i="5"/>
  <c r="J206" i="5"/>
  <c r="N202" i="5"/>
  <c r="J198" i="5"/>
  <c r="N194" i="5"/>
  <c r="J190" i="5"/>
  <c r="N186" i="5"/>
  <c r="J182" i="5"/>
  <c r="N178" i="5"/>
  <c r="J174" i="5"/>
  <c r="N170" i="5"/>
  <c r="J166" i="5"/>
  <c r="N162" i="5"/>
  <c r="J158" i="5"/>
  <c r="N154" i="5"/>
  <c r="J150" i="5"/>
  <c r="N146" i="5"/>
  <c r="J142" i="5"/>
  <c r="N138" i="5"/>
  <c r="J134" i="5"/>
  <c r="N130" i="5"/>
  <c r="J126" i="5"/>
  <c r="N122" i="5"/>
  <c r="J118" i="5"/>
  <c r="N114" i="5"/>
  <c r="J110" i="5"/>
  <c r="N106" i="5"/>
  <c r="J102" i="5"/>
  <c r="N98" i="5"/>
  <c r="J94" i="5"/>
  <c r="N90" i="5"/>
  <c r="J86" i="5"/>
  <c r="N82" i="5"/>
  <c r="J78" i="5"/>
  <c r="N74" i="5"/>
  <c r="J70" i="5"/>
  <c r="N66" i="5"/>
  <c r="J62" i="5"/>
  <c r="N58" i="5"/>
  <c r="J54" i="5"/>
  <c r="N50" i="5"/>
  <c r="J46" i="5"/>
  <c r="N42" i="5"/>
  <c r="J38" i="5"/>
  <c r="N34" i="5"/>
  <c r="J30" i="5"/>
  <c r="N26" i="5"/>
  <c r="J22" i="5"/>
  <c r="N18" i="5"/>
  <c r="J14" i="5"/>
  <c r="N10" i="5"/>
  <c r="J7" i="5"/>
  <c r="N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D0B0CB-C7E6-4D76-B865-5FFFED3095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DE5A63-B06B-490E-A460-7DA926670578}" name="WorksheetConnection_Transaction_working (3)!$A$1:$M$805" type="102" refreshedVersion="8" minRefreshableVersion="5">
    <extLst>
      <ext xmlns:x15="http://schemas.microsoft.com/office/spreadsheetml/2010/11/main" uri="{DE250136-89BD-433C-8126-D09CA5730AF9}">
        <x15:connection id="Range" autoDelete="1">
          <x15:rangePr sourceName="_xlcn.WorksheetConnection_Transaction_working3A1M805"/>
        </x15:connection>
      </ext>
    </extLst>
  </connection>
  <connection id="3" xr16:uid="{82DA0BD8-6D9D-4C2F-B4C8-4B95C2E245C3}" name="WorksheetConnection_Transaction_working (3)!$A$1:$P$805" type="102" refreshedVersion="8" minRefreshableVersion="5">
    <extLst>
      <ext xmlns:x15="http://schemas.microsoft.com/office/spreadsheetml/2010/11/main" uri="{DE250136-89BD-433C-8126-D09CA5730AF9}">
        <x15:connection id="Range 1" autoDelete="1">
          <x15:rangePr sourceName="_xlcn.WorksheetConnection_Transaction_working3A1P805"/>
        </x15:connection>
      </ext>
    </extLst>
  </connection>
</connections>
</file>

<file path=xl/sharedStrings.xml><?xml version="1.0" encoding="utf-8"?>
<sst xmlns="http://schemas.openxmlformats.org/spreadsheetml/2006/main" count="12737" uniqueCount="2006">
  <si>
    <t>TransactionID</t>
  </si>
  <si>
    <t>Date</t>
  </si>
  <si>
    <t>CustomerID</t>
  </si>
  <si>
    <t>StoreID</t>
  </si>
  <si>
    <t>EmployeeID</t>
  </si>
  <si>
    <t>PromotionID</t>
  </si>
  <si>
    <t>PaymentMethod</t>
  </si>
  <si>
    <t>TotalAmount</t>
  </si>
  <si>
    <t>TRN-9001</t>
  </si>
  <si>
    <t>2024-07-09</t>
  </si>
  <si>
    <t>CUST-1020</t>
  </si>
  <si>
    <t xml:space="preserve"> STO-01 </t>
  </si>
  <si>
    <t>EMP-0104</t>
  </si>
  <si>
    <t>PROMO-00</t>
  </si>
  <si>
    <t>Cash</t>
  </si>
  <si>
    <t>TRN-9002</t>
  </si>
  <si>
    <t xml:space="preserve"> 2025-11-05 </t>
  </si>
  <si>
    <t>CUST-1069</t>
  </si>
  <si>
    <t>STO-01</t>
  </si>
  <si>
    <t>EMP-0102</t>
  </si>
  <si>
    <t>TRN-9003</t>
  </si>
  <si>
    <t>2023-11-27</t>
  </si>
  <si>
    <t>CUST-1017</t>
  </si>
  <si>
    <t>EMP-0105</t>
  </si>
  <si>
    <t>PROMO-02</t>
  </si>
  <si>
    <t>Credit Card</t>
  </si>
  <si>
    <t>TRN-9004</t>
  </si>
  <si>
    <t>2022-06-10</t>
  </si>
  <si>
    <t>CUST-1173</t>
  </si>
  <si>
    <t>STO-03</t>
  </si>
  <si>
    <t>EMP-0305</t>
  </si>
  <si>
    <t>#N/A</t>
  </si>
  <si>
    <t>TRN-9005</t>
  </si>
  <si>
    <t>2022-02-24</t>
  </si>
  <si>
    <t>CUST-1148</t>
  </si>
  <si>
    <t>STO-04</t>
  </si>
  <si>
    <t>EMP-0401</t>
  </si>
  <si>
    <t>TRN-9006</t>
  </si>
  <si>
    <t>2023-05-12</t>
  </si>
  <si>
    <t>CUST-1177</t>
  </si>
  <si>
    <t>Mobile Payment</t>
  </si>
  <si>
    <t>TRN-9007</t>
  </si>
  <si>
    <t>2023-08-24</t>
  </si>
  <si>
    <t>CUST-1170</t>
  </si>
  <si>
    <t>EMP-0405</t>
  </si>
  <si>
    <t/>
  </si>
  <si>
    <t>TRN-9008</t>
  </si>
  <si>
    <t>2025-07-05</t>
  </si>
  <si>
    <t>CUST-1054</t>
  </si>
  <si>
    <t>EMP-0303</t>
  </si>
  <si>
    <t>TRN-9009</t>
  </si>
  <si>
    <t>2022-05-17</t>
  </si>
  <si>
    <t>CUST-1038</t>
  </si>
  <si>
    <t>STO-02</t>
  </si>
  <si>
    <t>PROMO-01</t>
  </si>
  <si>
    <t>TRN-9010</t>
  </si>
  <si>
    <t>2025-02-27</t>
  </si>
  <si>
    <t>CUST-1147</t>
  </si>
  <si>
    <t>TRN-9011</t>
  </si>
  <si>
    <t>2025-09-14</t>
  </si>
  <si>
    <t>CUST-1185</t>
  </si>
  <si>
    <t>TRN-9013</t>
  </si>
  <si>
    <t xml:space="preserve"> 2023-01-05 </t>
  </si>
  <si>
    <t>CUST-1047</t>
  </si>
  <si>
    <t xml:space="preserve"> PROMO-00 </t>
  </si>
  <si>
    <t>Debit Card</t>
  </si>
  <si>
    <t>TRN-9014</t>
  </si>
  <si>
    <t>2022-02-28</t>
  </si>
  <si>
    <t>CUST-1162</t>
  </si>
  <si>
    <t>TRN-9015</t>
  </si>
  <si>
    <t>2024-10-17</t>
  </si>
  <si>
    <t>CUST-1026</t>
  </si>
  <si>
    <t>EMP-0404</t>
  </si>
  <si>
    <t>TRN-9016</t>
  </si>
  <si>
    <t>2024-09-07</t>
  </si>
  <si>
    <t>CUST-1131</t>
  </si>
  <si>
    <t>EMP-0201</t>
  </si>
  <si>
    <t>TRN-9017</t>
  </si>
  <si>
    <t>2022-09-26</t>
  </si>
  <si>
    <t>CUST-1089</t>
  </si>
  <si>
    <t>TRN-9018</t>
  </si>
  <si>
    <t xml:space="preserve"> 2025-10-07 </t>
  </si>
  <si>
    <t>CUST-1175</t>
  </si>
  <si>
    <t>EMP-0204</t>
  </si>
  <si>
    <t>TRN-9019</t>
  </si>
  <si>
    <t>2024-06-25</t>
  </si>
  <si>
    <t>CUST-1192</t>
  </si>
  <si>
    <t>EMP-0101</t>
  </si>
  <si>
    <t>TRN-9020</t>
  </si>
  <si>
    <t>2024-08-22</t>
  </si>
  <si>
    <t>CUST-1139</t>
  </si>
  <si>
    <t>TRN-9022</t>
  </si>
  <si>
    <t>2025-03-04</t>
  </si>
  <si>
    <t>CUST-1111</t>
  </si>
  <si>
    <t>TRN-9023</t>
  </si>
  <si>
    <t>CUST-1169</t>
  </si>
  <si>
    <t>TRN-9024</t>
  </si>
  <si>
    <t>2024-07-26</t>
  </si>
  <si>
    <t>CUST-1044</t>
  </si>
  <si>
    <t>TRN-9025</t>
  </si>
  <si>
    <t xml:space="preserve"> 2025-12-23 </t>
  </si>
  <si>
    <t>TRN-9026</t>
  </si>
  <si>
    <t>2024-03-18</t>
  </si>
  <si>
    <t>CUST-1078</t>
  </si>
  <si>
    <t>EMP-0202</t>
  </si>
  <si>
    <t>TRN-9027</t>
  </si>
  <si>
    <t>2022-01-15</t>
  </si>
  <si>
    <t>CUST-1001</t>
  </si>
  <si>
    <t xml:space="preserve"> EMP-0402 </t>
  </si>
  <si>
    <t>TRN-9028</t>
  </si>
  <si>
    <t>2025-06-10</t>
  </si>
  <si>
    <t>CUST-1151</t>
  </si>
  <si>
    <t>TRN-9029</t>
  </si>
  <si>
    <t>2023-05-08</t>
  </si>
  <si>
    <t>CUST-1056</t>
  </si>
  <si>
    <t>TRN-9030</t>
  </si>
  <si>
    <t>2022-07-31</t>
  </si>
  <si>
    <t>CUST-1150</t>
  </si>
  <si>
    <t>EMP-0203</t>
  </si>
  <si>
    <t xml:space="preserve"> Mobile Payment </t>
  </si>
  <si>
    <t xml:space="preserve"> TRN-9031 </t>
  </si>
  <si>
    <t>2025-08-07</t>
  </si>
  <si>
    <t>CUST-1189</t>
  </si>
  <si>
    <t>EMP-0302</t>
  </si>
  <si>
    <t xml:space="preserve"> TRN-9032 </t>
  </si>
  <si>
    <t>2025-01-13</t>
  </si>
  <si>
    <t>CUST-1024</t>
  </si>
  <si>
    <t>TRN-9033</t>
  </si>
  <si>
    <t>CUST-1035</t>
  </si>
  <si>
    <t>TRN-9034</t>
  </si>
  <si>
    <t>2024-03-19</t>
  </si>
  <si>
    <t>CUST-1100</t>
  </si>
  <si>
    <t>TRN-9035</t>
  </si>
  <si>
    <t>2022-10-21</t>
  </si>
  <si>
    <t>CUST-1196</t>
  </si>
  <si>
    <t>TRN-9036</t>
  </si>
  <si>
    <t>2025-09-23</t>
  </si>
  <si>
    <t>CUST-1042</t>
  </si>
  <si>
    <t>EMP-0205</t>
  </si>
  <si>
    <t>TRN-9037</t>
  </si>
  <si>
    <t>EMP-0403</t>
  </si>
  <si>
    <t>TRN-9038</t>
  </si>
  <si>
    <t>2023-07-04</t>
  </si>
  <si>
    <t>CUST-1163</t>
  </si>
  <si>
    <t xml:space="preserve"> Credit Card </t>
  </si>
  <si>
    <t>TRN-9040</t>
  </si>
  <si>
    <t xml:space="preserve"> 2025-12-26 </t>
  </si>
  <si>
    <t>CUST-1135</t>
  </si>
  <si>
    <t>TRN-9041</t>
  </si>
  <si>
    <t>2023-03-02</t>
  </si>
  <si>
    <t>TRN-9042</t>
  </si>
  <si>
    <t>2025-05-30</t>
  </si>
  <si>
    <t>CUST-1112</t>
  </si>
  <si>
    <t>TRN-9043</t>
  </si>
  <si>
    <t>2024-01-01</t>
  </si>
  <si>
    <t>CUST-1127</t>
  </si>
  <si>
    <t>2025-07-17</t>
  </si>
  <si>
    <t xml:space="preserve"> STO-02 </t>
  </si>
  <si>
    <t>PROMO-03</t>
  </si>
  <si>
    <t>TRN-9045</t>
  </si>
  <si>
    <t>2022-08-02</t>
  </si>
  <si>
    <t>CUST-1186</t>
  </si>
  <si>
    <t>TRN-9046</t>
  </si>
  <si>
    <t>2023-12-19</t>
  </si>
  <si>
    <t>CUST-1070</t>
  </si>
  <si>
    <t>TRN-9047</t>
  </si>
  <si>
    <t>2023-11-25</t>
  </si>
  <si>
    <t>CUST-1155</t>
  </si>
  <si>
    <t>EMP-0301</t>
  </si>
  <si>
    <t>TRN-9048</t>
  </si>
  <si>
    <t>2023-10-30</t>
  </si>
  <si>
    <t>CUST-1092</t>
  </si>
  <si>
    <t>TRN-9049</t>
  </si>
  <si>
    <t>2022-04-13</t>
  </si>
  <si>
    <t>CUST-1065</t>
  </si>
  <si>
    <t xml:space="preserve"> TRN-9050 </t>
  </si>
  <si>
    <t>2025-03-11</t>
  </si>
  <si>
    <t>CUST-1152</t>
  </si>
  <si>
    <t>TRN-9051</t>
  </si>
  <si>
    <t>2025-12-10</t>
  </si>
  <si>
    <t xml:space="preserve"> CUST-1038 </t>
  </si>
  <si>
    <t>TRN-9052</t>
  </si>
  <si>
    <t>2025-02-03</t>
  </si>
  <si>
    <t>CUST-1074</t>
  </si>
  <si>
    <t xml:space="preserve"> TRN-9053 </t>
  </si>
  <si>
    <t>2024-09-24</t>
  </si>
  <si>
    <t>CUST-1164</t>
  </si>
  <si>
    <t>2023-01-30</t>
  </si>
  <si>
    <t>CUST-1117</t>
  </si>
  <si>
    <t xml:space="preserve"> TRN-9055 </t>
  </si>
  <si>
    <t>2025-08-12</t>
  </si>
  <si>
    <t>CUST-1080</t>
  </si>
  <si>
    <t>TRN-9056</t>
  </si>
  <si>
    <t>2023-11-15</t>
  </si>
  <si>
    <t>TRN-9057</t>
  </si>
  <si>
    <t>2023-07-28</t>
  </si>
  <si>
    <t>CUST-1191</t>
  </si>
  <si>
    <t>TRN-9058</t>
  </si>
  <si>
    <t>2025-01-04</t>
  </si>
  <si>
    <t>CUST-1008</t>
  </si>
  <si>
    <t>EMP-0304</t>
  </si>
  <si>
    <t>TRN-9059</t>
  </si>
  <si>
    <t>2025-05-24</t>
  </si>
  <si>
    <t>CUST-1036</t>
  </si>
  <si>
    <t>TRN-9060</t>
  </si>
  <si>
    <t>2026-01-01</t>
  </si>
  <si>
    <t>TRN-9061</t>
  </si>
  <si>
    <t>2022-01-14</t>
  </si>
  <si>
    <t>TRN-9063</t>
  </si>
  <si>
    <t>2025-05-22</t>
  </si>
  <si>
    <t>CUST-1121</t>
  </si>
  <si>
    <t>TRN-9064</t>
  </si>
  <si>
    <t>2025-05-17</t>
  </si>
  <si>
    <t>CUST-1179</t>
  </si>
  <si>
    <t>TRN-9065</t>
  </si>
  <si>
    <t>2025-06-15</t>
  </si>
  <si>
    <t>CUST-1060</t>
  </si>
  <si>
    <t>TRN-9066</t>
  </si>
  <si>
    <t>2024-06-26</t>
  </si>
  <si>
    <t>CUST-1197</t>
  </si>
  <si>
    <t>TRN-9067</t>
  </si>
  <si>
    <t>2024-01-23</t>
  </si>
  <si>
    <t xml:space="preserve"> TRN-9068 </t>
  </si>
  <si>
    <t>2022-01-05</t>
  </si>
  <si>
    <t>CUST-1010</t>
  </si>
  <si>
    <t>TRN-9069</t>
  </si>
  <si>
    <t>2022-01-26</t>
  </si>
  <si>
    <t>CUST-1146</t>
  </si>
  <si>
    <t>TRN-9070</t>
  </si>
  <si>
    <t>2022-08-01</t>
  </si>
  <si>
    <t>CUST-1015</t>
  </si>
  <si>
    <t xml:space="preserve"> EMP-0104 </t>
  </si>
  <si>
    <t>TRN-9071</t>
  </si>
  <si>
    <t>CUST-1119</t>
  </si>
  <si>
    <t>TRN-9072</t>
  </si>
  <si>
    <t>2022-07-30</t>
  </si>
  <si>
    <t xml:space="preserve"> TRN-9073 </t>
  </si>
  <si>
    <t>2025-08-27</t>
  </si>
  <si>
    <t>CUST-1104</t>
  </si>
  <si>
    <t>TRN-9074</t>
  </si>
  <si>
    <t>2022-12-09</t>
  </si>
  <si>
    <t xml:space="preserve"> CUST-1021 </t>
  </si>
  <si>
    <t>CUST-1021</t>
  </si>
  <si>
    <t>TRN-9076</t>
  </si>
  <si>
    <t>2024-06-07</t>
  </si>
  <si>
    <t>CUST-1118</t>
  </si>
  <si>
    <t xml:space="preserve"> STO-04 </t>
  </si>
  <si>
    <t>TRN-9077</t>
  </si>
  <si>
    <t>2024-11-05</t>
  </si>
  <si>
    <t>CUST-1176</t>
  </si>
  <si>
    <t>TRN-9078</t>
  </si>
  <si>
    <t>2024-12-07</t>
  </si>
  <si>
    <t>CUST-1126</t>
  </si>
  <si>
    <t>TRN-9079</t>
  </si>
  <si>
    <t>2025-06-04</t>
  </si>
  <si>
    <t>CUST-1037</t>
  </si>
  <si>
    <t>TRN-9080</t>
  </si>
  <si>
    <t>2023-08-09</t>
  </si>
  <si>
    <t>CUST-1048</t>
  </si>
  <si>
    <t>TRN-9082</t>
  </si>
  <si>
    <t>2025-08-10</t>
  </si>
  <si>
    <t>CUST-1195</t>
  </si>
  <si>
    <t>TRN-9083</t>
  </si>
  <si>
    <t>2022-06-28</t>
  </si>
  <si>
    <t>CUST-1050</t>
  </si>
  <si>
    <t>TRN-9084</t>
  </si>
  <si>
    <t>2022-07-17</t>
  </si>
  <si>
    <t>CUST-1007</t>
  </si>
  <si>
    <t xml:space="preserve"> Cash </t>
  </si>
  <si>
    <t>TRN-9085</t>
  </si>
  <si>
    <t>2023-09-08</t>
  </si>
  <si>
    <t>TRN-9086</t>
  </si>
  <si>
    <t>2025-05-15</t>
  </si>
  <si>
    <t>CUST-1103</t>
  </si>
  <si>
    <t>TRN-9087</t>
  </si>
  <si>
    <t>2022-02-22</t>
  </si>
  <si>
    <t>CUST-1120</t>
  </si>
  <si>
    <t>TRN-9088</t>
  </si>
  <si>
    <t>2023-05-18</t>
  </si>
  <si>
    <t>TRN-9089</t>
  </si>
  <si>
    <t>2024-09-11</t>
  </si>
  <si>
    <t>TRN-9090</t>
  </si>
  <si>
    <t>CUST-1168</t>
  </si>
  <si>
    <t>TRN-9091</t>
  </si>
  <si>
    <t>2024-09-09</t>
  </si>
  <si>
    <t>TRN-9092</t>
  </si>
  <si>
    <t>2023-09-15</t>
  </si>
  <si>
    <t>TRN-9093</t>
  </si>
  <si>
    <t>2024-08-14</t>
  </si>
  <si>
    <t xml:space="preserve"> PROMO-03 </t>
  </si>
  <si>
    <t>CUST-1051</t>
  </si>
  <si>
    <t xml:space="preserve"> TRN-9095 </t>
  </si>
  <si>
    <t>CUST-1040</t>
  </si>
  <si>
    <t>TRN-9096</t>
  </si>
  <si>
    <t>2022-10-23</t>
  </si>
  <si>
    <t>EMP-0103</t>
  </si>
  <si>
    <t>TRN-9097</t>
  </si>
  <si>
    <t>2024-07-10</t>
  </si>
  <si>
    <t>CUST-1158</t>
  </si>
  <si>
    <t>TRN-9098</t>
  </si>
  <si>
    <t>2024-11-09</t>
  </si>
  <si>
    <t>TRN-9100</t>
  </si>
  <si>
    <t>2025-10-22</t>
  </si>
  <si>
    <t>CUST-1178</t>
  </si>
  <si>
    <t>TRN-9101</t>
  </si>
  <si>
    <t>2022-12-14</t>
  </si>
  <si>
    <t>TRN-9102</t>
  </si>
  <si>
    <t>2025-09-09</t>
  </si>
  <si>
    <t>CUST-1081</t>
  </si>
  <si>
    <t>2025-07-26</t>
  </si>
  <si>
    <t>CUST-1072</t>
  </si>
  <si>
    <t>TRN-9104</t>
  </si>
  <si>
    <t>2022-05-29</t>
  </si>
  <si>
    <t>CUST-1062</t>
  </si>
  <si>
    <t>TRN-9105</t>
  </si>
  <si>
    <t>2022-10-08</t>
  </si>
  <si>
    <t>CUST-1174</t>
  </si>
  <si>
    <t>TRN-9106</t>
  </si>
  <si>
    <t>2022-11-22</t>
  </si>
  <si>
    <t>CUST-1030</t>
  </si>
  <si>
    <t>TRN-9107</t>
  </si>
  <si>
    <t>2025-12-23</t>
  </si>
  <si>
    <t xml:space="preserve"> PROMO-02 </t>
  </si>
  <si>
    <t>TRN-9108</t>
  </si>
  <si>
    <t>2026-01-19</t>
  </si>
  <si>
    <t>CUST-1129</t>
  </si>
  <si>
    <t>TRN-9109</t>
  </si>
  <si>
    <t xml:space="preserve"> 2024-06-15 </t>
  </si>
  <si>
    <t>CUST-1122</t>
  </si>
  <si>
    <t>2024-04-10</t>
  </si>
  <si>
    <t>CUST-1116</t>
  </si>
  <si>
    <t>TRN-9111</t>
  </si>
  <si>
    <t>2022-04-27</t>
  </si>
  <si>
    <t>TRN-9112</t>
  </si>
  <si>
    <t>TRN-9113</t>
  </si>
  <si>
    <t>2024-03-29</t>
  </si>
  <si>
    <t>TRN-9114</t>
  </si>
  <si>
    <t>2022-03-16</t>
  </si>
  <si>
    <t>TRN-9115</t>
  </si>
  <si>
    <t>2025-03-13</t>
  </si>
  <si>
    <t>EMP-0402</t>
  </si>
  <si>
    <t>TRN-9116</t>
  </si>
  <si>
    <t>2022-04-12</t>
  </si>
  <si>
    <t>CUST-1153</t>
  </si>
  <si>
    <t>TRN-9117</t>
  </si>
  <si>
    <t>2023-02-10</t>
  </si>
  <si>
    <t>CUST-1138</t>
  </si>
  <si>
    <t>TRN-9118</t>
  </si>
  <si>
    <t>2022-02-01</t>
  </si>
  <si>
    <t>CUST-1200</t>
  </si>
  <si>
    <t>TRN-9119</t>
  </si>
  <si>
    <t>2023-01-02</t>
  </si>
  <si>
    <t>CUST-1091</t>
  </si>
  <si>
    <t>TRN-9120</t>
  </si>
  <si>
    <t>2024-01-11</t>
  </si>
  <si>
    <t>TRN-9121</t>
  </si>
  <si>
    <t>2022-03-19</t>
  </si>
  <si>
    <t xml:space="preserve"> CUST-1176 </t>
  </si>
  <si>
    <t>TRN-9122</t>
  </si>
  <si>
    <t xml:space="preserve"> 2025-05-16 </t>
  </si>
  <si>
    <t>CUST-1014</t>
  </si>
  <si>
    <t>TRN-9123</t>
  </si>
  <si>
    <t>2022-10-03</t>
  </si>
  <si>
    <t>CUST-1161</t>
  </si>
  <si>
    <t>TRN-9124</t>
  </si>
  <si>
    <t>2025-09-04</t>
  </si>
  <si>
    <t>CUST-1066</t>
  </si>
  <si>
    <t>TRN-9125</t>
  </si>
  <si>
    <t xml:space="preserve"> 2025-06-21 </t>
  </si>
  <si>
    <t>TRN-9126</t>
  </si>
  <si>
    <t>2024-09-30</t>
  </si>
  <si>
    <t>CUST-1193</t>
  </si>
  <si>
    <t>TRN-9127</t>
  </si>
  <si>
    <t>2025-12-28</t>
  </si>
  <si>
    <t>TRN-9128</t>
  </si>
  <si>
    <t>2023-08-26</t>
  </si>
  <si>
    <t>CUST-1063</t>
  </si>
  <si>
    <t>TRN-9129</t>
  </si>
  <si>
    <t>2023-01-20</t>
  </si>
  <si>
    <t>TRN-9130</t>
  </si>
  <si>
    <t>2024-07-05</t>
  </si>
  <si>
    <t>CUST-1171</t>
  </si>
  <si>
    <t>TRN-9131</t>
  </si>
  <si>
    <t>2023-04-08</t>
  </si>
  <si>
    <t>TRN-9132</t>
  </si>
  <si>
    <t xml:space="preserve"> EMP-0102 </t>
  </si>
  <si>
    <t>TRN-9133</t>
  </si>
  <si>
    <t>2025-05-26</t>
  </si>
  <si>
    <t>CUST-1144</t>
  </si>
  <si>
    <t>TRN-9134</t>
  </si>
  <si>
    <t>2025-01-01</t>
  </si>
  <si>
    <t xml:space="preserve"> CUST-1017 </t>
  </si>
  <si>
    <t xml:space="preserve"> EMP-0405 </t>
  </si>
  <si>
    <t>2022-01-19</t>
  </si>
  <si>
    <t>TRN-9136</t>
  </si>
  <si>
    <t>2022-05-26</t>
  </si>
  <si>
    <t>CUST-1128</t>
  </si>
  <si>
    <t>TRN-9137</t>
  </si>
  <si>
    <t>TRN-9138</t>
  </si>
  <si>
    <t>2025-12-16</t>
  </si>
  <si>
    <t>CUST-1160</t>
  </si>
  <si>
    <t>TRN-9139</t>
  </si>
  <si>
    <t>2022-03-05</t>
  </si>
  <si>
    <t xml:space="preserve"> CUST-1184 </t>
  </si>
  <si>
    <t>TRN-9140</t>
  </si>
  <si>
    <t>2024-06-22</t>
  </si>
  <si>
    <t>CUST-1142</t>
  </si>
  <si>
    <t>TRN-9141</t>
  </si>
  <si>
    <t>2022-11-10</t>
  </si>
  <si>
    <t>TRN-9142</t>
  </si>
  <si>
    <t>2024-11-23</t>
  </si>
  <si>
    <t>CUST-1027</t>
  </si>
  <si>
    <t>TRN-9143</t>
  </si>
  <si>
    <t>2022-05-21</t>
  </si>
  <si>
    <t>CUST-1061</t>
  </si>
  <si>
    <t>TRN-9144</t>
  </si>
  <si>
    <t xml:space="preserve"> 2025-06-13 </t>
  </si>
  <si>
    <t>2025-06-13</t>
  </si>
  <si>
    <t>TRN-9146</t>
  </si>
  <si>
    <t>2023-05-31</t>
  </si>
  <si>
    <t>TRN-9147</t>
  </si>
  <si>
    <t>CUST-1009</t>
  </si>
  <si>
    <t>TRN-9148</t>
  </si>
  <si>
    <t>TRN-9149</t>
  </si>
  <si>
    <t>2024-09-02</t>
  </si>
  <si>
    <t>CUST-1022</t>
  </si>
  <si>
    <t>TRN-9150</t>
  </si>
  <si>
    <t>2024-12-08</t>
  </si>
  <si>
    <t>TRN-9151</t>
  </si>
  <si>
    <t>2024-03-27</t>
  </si>
  <si>
    <t>TRN-9152</t>
  </si>
  <si>
    <t>2024-01-15</t>
  </si>
  <si>
    <t>TRN-9153</t>
  </si>
  <si>
    <t>2025-05-11</t>
  </si>
  <si>
    <t>TRN-9154</t>
  </si>
  <si>
    <t>2025-08-02</t>
  </si>
  <si>
    <t>2023-06-20</t>
  </si>
  <si>
    <t>CUST-1097</t>
  </si>
  <si>
    <t>TRN-9156</t>
  </si>
  <si>
    <t>2024-07-04</t>
  </si>
  <si>
    <t xml:space="preserve"> EMP-0401 </t>
  </si>
  <si>
    <t>TRN-9157</t>
  </si>
  <si>
    <t>2024-12-29</t>
  </si>
  <si>
    <t>TRN-9158</t>
  </si>
  <si>
    <t>2023-06-04</t>
  </si>
  <si>
    <t>CUST-1125</t>
  </si>
  <si>
    <t xml:space="preserve"> TRN-9159 </t>
  </si>
  <si>
    <t>2025-08-05</t>
  </si>
  <si>
    <t>TRN-9160</t>
  </si>
  <si>
    <t>2023-06-03</t>
  </si>
  <si>
    <t>TRN-9161</t>
  </si>
  <si>
    <t>2024-11-27</t>
  </si>
  <si>
    <t>TRN-9162</t>
  </si>
  <si>
    <t>2023-03-14</t>
  </si>
  <si>
    <t>CUST-1028</t>
  </si>
  <si>
    <t>TRN-9163</t>
  </si>
  <si>
    <t>2024-01-26</t>
  </si>
  <si>
    <t>CUST-1005</t>
  </si>
  <si>
    <t>TRN-9164</t>
  </si>
  <si>
    <t>2022-12-23</t>
  </si>
  <si>
    <t>CUST-1029</t>
  </si>
  <si>
    <t>TRN-9165</t>
  </si>
  <si>
    <t>2022-12-28</t>
  </si>
  <si>
    <t>CUST-1145</t>
  </si>
  <si>
    <t xml:space="preserve"> EMP-0202 </t>
  </si>
  <si>
    <t>TRN-9166</t>
  </si>
  <si>
    <t>TRN-9167</t>
  </si>
  <si>
    <t>2023-03-03</t>
  </si>
  <si>
    <t>TRN-9168</t>
  </si>
  <si>
    <t>2024-05-04</t>
  </si>
  <si>
    <t>TRN-9169</t>
  </si>
  <si>
    <t>2022-01-24</t>
  </si>
  <si>
    <t>TRN-9170</t>
  </si>
  <si>
    <t>2023-10-17</t>
  </si>
  <si>
    <t>CUST-1068</t>
  </si>
  <si>
    <t>TRN-9171</t>
  </si>
  <si>
    <t>2024-11-15</t>
  </si>
  <si>
    <t xml:space="preserve"> CUST-1055 </t>
  </si>
  <si>
    <t>TRN-9172</t>
  </si>
  <si>
    <t xml:space="preserve"> STO-03 </t>
  </si>
  <si>
    <t>TRN-9173</t>
  </si>
  <si>
    <t>2022-08-27</t>
  </si>
  <si>
    <t>CUST-1123</t>
  </si>
  <si>
    <t>TRN-9174</t>
  </si>
  <si>
    <t>2024-09-21</t>
  </si>
  <si>
    <t>CUST-1182</t>
  </si>
  <si>
    <t>TRN-9176</t>
  </si>
  <si>
    <t>TRN-9177</t>
  </si>
  <si>
    <t>2024-02-06</t>
  </si>
  <si>
    <t>TRN-9178</t>
  </si>
  <si>
    <t>2024-05-03</t>
  </si>
  <si>
    <t>CUST-1094</t>
  </si>
  <si>
    <t>TRN-9179</t>
  </si>
  <si>
    <t>2024-05-21</t>
  </si>
  <si>
    <t xml:space="preserve"> EMP-0101 </t>
  </si>
  <si>
    <t>TRN-9180</t>
  </si>
  <si>
    <t xml:space="preserve"> 2024-12-10 </t>
  </si>
  <si>
    <t>CUST-1190</t>
  </si>
  <si>
    <t>2024-12-10</t>
  </si>
  <si>
    <t>TRN-9182</t>
  </si>
  <si>
    <t>2024-08-18</t>
  </si>
  <si>
    <t>TRN-9183</t>
  </si>
  <si>
    <t>2024-08-07</t>
  </si>
  <si>
    <t>CUST-1082</t>
  </si>
  <si>
    <t>TRN-9184</t>
  </si>
  <si>
    <t>2024-04-05</t>
  </si>
  <si>
    <t>CUST-1124</t>
  </si>
  <si>
    <t xml:space="preserve"> Debit Card </t>
  </si>
  <si>
    <t>TRN-9185</t>
  </si>
  <si>
    <t>2024-04-26</t>
  </si>
  <si>
    <t xml:space="preserve"> CUST-1105 </t>
  </si>
  <si>
    <t>TRN-9186</t>
  </si>
  <si>
    <t>2022-09-07</t>
  </si>
  <si>
    <t xml:space="preserve"> TRN-9188 </t>
  </si>
  <si>
    <t>2023-04-04</t>
  </si>
  <si>
    <t>TRN-9189</t>
  </si>
  <si>
    <t>2025-10-15</t>
  </si>
  <si>
    <t>CUST-1096</t>
  </si>
  <si>
    <t>TRN-9190</t>
  </si>
  <si>
    <t>2023-05-09</t>
  </si>
  <si>
    <t>CUST-1102</t>
  </si>
  <si>
    <t>TRN-9191</t>
  </si>
  <si>
    <t>2025-03-18</t>
  </si>
  <si>
    <t>CUST-1101</t>
  </si>
  <si>
    <t>2024-03-15</t>
  </si>
  <si>
    <t>TRN-9194</t>
  </si>
  <si>
    <t>2024-01-09</t>
  </si>
  <si>
    <t>CUST-1107</t>
  </si>
  <si>
    <t>TRN-9195</t>
  </si>
  <si>
    <t>2024-11-21</t>
  </si>
  <si>
    <t>CUST-1106</t>
  </si>
  <si>
    <t xml:space="preserve"> EMP-0205 </t>
  </si>
  <si>
    <t>TRN-9196</t>
  </si>
  <si>
    <t>2024-09-19</t>
  </si>
  <si>
    <t>CUST-1109</t>
  </si>
  <si>
    <t>TRN-9197</t>
  </si>
  <si>
    <t>2025-04-06</t>
  </si>
  <si>
    <t>TRN-9198</t>
  </si>
  <si>
    <t>2025-08-18</t>
  </si>
  <si>
    <t xml:space="preserve"> CUST-1108 </t>
  </si>
  <si>
    <t>2023-02-12</t>
  </si>
  <si>
    <t>TRN-9200</t>
  </si>
  <si>
    <t>2023-10-31</t>
  </si>
  <si>
    <t>CUST-1090</t>
  </si>
  <si>
    <t>TRN-9201</t>
  </si>
  <si>
    <t>2025-10-03</t>
  </si>
  <si>
    <t>TRN-9202</t>
  </si>
  <si>
    <t>2023-09-18</t>
  </si>
  <si>
    <t>TRN-9203</t>
  </si>
  <si>
    <t>2024-02-28</t>
  </si>
  <si>
    <t>CUST-1018</t>
  </si>
  <si>
    <t xml:space="preserve"> TRN-9204 </t>
  </si>
  <si>
    <t>2023-09-01</t>
  </si>
  <si>
    <t xml:space="preserve"> TRN-9205 </t>
  </si>
  <si>
    <t>2023-08-11</t>
  </si>
  <si>
    <t>TRN-9206</t>
  </si>
  <si>
    <t>2025-03-31</t>
  </si>
  <si>
    <t>TRN-9207</t>
  </si>
  <si>
    <t>2024-05-09</t>
  </si>
  <si>
    <t>TRN-9208</t>
  </si>
  <si>
    <t>2024-01-29</t>
  </si>
  <si>
    <t>TRN-9209</t>
  </si>
  <si>
    <t>2023-03-08</t>
  </si>
  <si>
    <t xml:space="preserve"> CUST-1174 </t>
  </si>
  <si>
    <t>TRN-9210</t>
  </si>
  <si>
    <t>2025-11-07</t>
  </si>
  <si>
    <t>CUST-1130</t>
  </si>
  <si>
    <t>TRN-9211</t>
  </si>
  <si>
    <t>2025-11-21</t>
  </si>
  <si>
    <t>TRN-9212</t>
  </si>
  <si>
    <t>2024-08-13</t>
  </si>
  <si>
    <t>TRN-9213</t>
  </si>
  <si>
    <t>TRN-9214</t>
  </si>
  <si>
    <t>2025-01-23</t>
  </si>
  <si>
    <t>TRN-9215</t>
  </si>
  <si>
    <t>2024-02-18</t>
  </si>
  <si>
    <t>TRN-9216</t>
  </si>
  <si>
    <t>2025-09-21</t>
  </si>
  <si>
    <t xml:space="preserve"> CUST-1020 </t>
  </si>
  <si>
    <t>TRN-9217</t>
  </si>
  <si>
    <t>2024-10-13</t>
  </si>
  <si>
    <t>TRN-9218</t>
  </si>
  <si>
    <t>2023-10-06</t>
  </si>
  <si>
    <t>TRN-9219</t>
  </si>
  <si>
    <t xml:space="preserve"> CUST-1175 </t>
  </si>
  <si>
    <t>TRN-9220</t>
  </si>
  <si>
    <t>2023-08-21</t>
  </si>
  <si>
    <t>CUST-1149</t>
  </si>
  <si>
    <t>TRN-9221</t>
  </si>
  <si>
    <t xml:space="preserve"> 2024-08-13 </t>
  </si>
  <si>
    <t>TRN-9222</t>
  </si>
  <si>
    <t>2022-11-17</t>
  </si>
  <si>
    <t>TRN-9223</t>
  </si>
  <si>
    <t>2023-01-10</t>
  </si>
  <si>
    <t>CUST-1071</t>
  </si>
  <si>
    <t>TRN-9224</t>
  </si>
  <si>
    <t>2024-04-02</t>
  </si>
  <si>
    <t>CUST-1083</t>
  </si>
  <si>
    <t>TRN-9226</t>
  </si>
  <si>
    <t>TRN-9227</t>
  </si>
  <si>
    <t>2022-08-08</t>
  </si>
  <si>
    <t>CUST-1085</t>
  </si>
  <si>
    <t>TRN-9228</t>
  </si>
  <si>
    <t>TRN-9229</t>
  </si>
  <si>
    <t>2023-01-26</t>
  </si>
  <si>
    <t>TRN-9230</t>
  </si>
  <si>
    <t>TRN-9231</t>
  </si>
  <si>
    <t>2025-12-19</t>
  </si>
  <si>
    <t>TRN-9232</t>
  </si>
  <si>
    <t>2024-09-20</t>
  </si>
  <si>
    <t>CUST-1058</t>
  </si>
  <si>
    <t>TRN-9233</t>
  </si>
  <si>
    <t>2023-07-27</t>
  </si>
  <si>
    <t>TRN-9234</t>
  </si>
  <si>
    <t>2025-08-31</t>
  </si>
  <si>
    <t>CUST-1002</t>
  </si>
  <si>
    <t>TRN-9235</t>
  </si>
  <si>
    <t>2024-06-27</t>
  </si>
  <si>
    <t>TRN-9236</t>
  </si>
  <si>
    <t>2023-09-09</t>
  </si>
  <si>
    <t>CUST-1172</t>
  </si>
  <si>
    <t>TRN-9238</t>
  </si>
  <si>
    <t>2025-11-27</t>
  </si>
  <si>
    <t>TRN-9240</t>
  </si>
  <si>
    <t>TRN-9241</t>
  </si>
  <si>
    <t>2025-07-04</t>
  </si>
  <si>
    <t>TRN-9242</t>
  </si>
  <si>
    <t>2025-04-03</t>
  </si>
  <si>
    <t>TRN-9243</t>
  </si>
  <si>
    <t>2023-07-23</t>
  </si>
  <si>
    <t>2024-02-09</t>
  </si>
  <si>
    <t>TRN-9245</t>
  </si>
  <si>
    <t>2025-06-16</t>
  </si>
  <si>
    <t>2022-06-20</t>
  </si>
  <si>
    <t>CUST-1073</t>
  </si>
  <si>
    <t>TRN-9247</t>
  </si>
  <si>
    <t>TRN-9248</t>
  </si>
  <si>
    <t>2022-04-21</t>
  </si>
  <si>
    <t>TRN-9249</t>
  </si>
  <si>
    <t>2022-06-07</t>
  </si>
  <si>
    <t>TRN-9250</t>
  </si>
  <si>
    <t xml:space="preserve"> CUST-1009 </t>
  </si>
  <si>
    <t>TRN-9251</t>
  </si>
  <si>
    <t>2023-07-18</t>
  </si>
  <si>
    <t>CUST-1166</t>
  </si>
  <si>
    <t>TRN-9252</t>
  </si>
  <si>
    <t>2025-03-17</t>
  </si>
  <si>
    <t>CUST-1012</t>
  </si>
  <si>
    <t>TRN-9253</t>
  </si>
  <si>
    <t>2025-10-08</t>
  </si>
  <si>
    <t>TRN-9254</t>
  </si>
  <si>
    <t>2023-02-03</t>
  </si>
  <si>
    <t>TRN-9256</t>
  </si>
  <si>
    <t>2023-11-14</t>
  </si>
  <si>
    <t xml:space="preserve"> EMP-0403 </t>
  </si>
  <si>
    <t>TRN-9257</t>
  </si>
  <si>
    <t>2025-03-05</t>
  </si>
  <si>
    <t>TRN-9258</t>
  </si>
  <si>
    <t>CUST-1198</t>
  </si>
  <si>
    <t>TRN-9259</t>
  </si>
  <si>
    <t>2024-09-08</t>
  </si>
  <si>
    <t>TRN-9260</t>
  </si>
  <si>
    <t xml:space="preserve"> 2023-12-31 </t>
  </si>
  <si>
    <t>CUST-1159</t>
  </si>
  <si>
    <t>TRN-9261</t>
  </si>
  <si>
    <t>2023-12-09</t>
  </si>
  <si>
    <t>TRN-9262</t>
  </si>
  <si>
    <t>2025-05-06</t>
  </si>
  <si>
    <t>CUST-1184</t>
  </si>
  <si>
    <t>TRN-9263</t>
  </si>
  <si>
    <t>2025-04-17</t>
  </si>
  <si>
    <t>CUST-1157</t>
  </si>
  <si>
    <t>TRN-9264</t>
  </si>
  <si>
    <t>2023-12-08</t>
  </si>
  <si>
    <t>TRN-9265</t>
  </si>
  <si>
    <t>2024-12-06</t>
  </si>
  <si>
    <t xml:space="preserve"> TRN-9266 </t>
  </si>
  <si>
    <t>2024-10-07</t>
  </si>
  <si>
    <t>TRN-9267</t>
  </si>
  <si>
    <t>2022-05-02</t>
  </si>
  <si>
    <t>TRN-9268</t>
  </si>
  <si>
    <t>CUST-1137</t>
  </si>
  <si>
    <t>TRN-9269</t>
  </si>
  <si>
    <t>2022-07-09</t>
  </si>
  <si>
    <t>TRN-9270</t>
  </si>
  <si>
    <t>TRN-9271</t>
  </si>
  <si>
    <t>TRN-9272</t>
  </si>
  <si>
    <t>2022-07-10</t>
  </si>
  <si>
    <t>TRN-9273</t>
  </si>
  <si>
    <t>2025-06-23</t>
  </si>
  <si>
    <t>TRN-9274</t>
  </si>
  <si>
    <t>2024-05-02</t>
  </si>
  <si>
    <t>TRN-9275</t>
  </si>
  <si>
    <t>2025-11-02</t>
  </si>
  <si>
    <t>CUST-1098</t>
  </si>
  <si>
    <t>TRN-9276</t>
  </si>
  <si>
    <t>2022-06-01</t>
  </si>
  <si>
    <t>CUST-1199</t>
  </si>
  <si>
    <t>TRN-9277</t>
  </si>
  <si>
    <t>2025-10-30</t>
  </si>
  <si>
    <t>CUST-1023</t>
  </si>
  <si>
    <t>TRN-9278</t>
  </si>
  <si>
    <t>TRN-9279</t>
  </si>
  <si>
    <t>2022-12-29</t>
  </si>
  <si>
    <t>TRN-9280</t>
  </si>
  <si>
    <t>2025-11-06</t>
  </si>
  <si>
    <t>CUST-1114</t>
  </si>
  <si>
    <t>TRN-9281</t>
  </si>
  <si>
    <t>2023-05-17</t>
  </si>
  <si>
    <t>TRN-9282</t>
  </si>
  <si>
    <t>CUST-1053</t>
  </si>
  <si>
    <t>TRN-9283</t>
  </si>
  <si>
    <t>2023-02-07</t>
  </si>
  <si>
    <t>CUST-1156</t>
  </si>
  <si>
    <t>TRN-9284</t>
  </si>
  <si>
    <t>2025-07-08</t>
  </si>
  <si>
    <t>TRN-9285</t>
  </si>
  <si>
    <t xml:space="preserve"> 2023-07-17 </t>
  </si>
  <si>
    <t>TRN-9286</t>
  </si>
  <si>
    <t>2022-07-28</t>
  </si>
  <si>
    <t>TRN-9287</t>
  </si>
  <si>
    <t>2024-06-14</t>
  </si>
  <si>
    <t>TRN-9288</t>
  </si>
  <si>
    <t>2024-03-11</t>
  </si>
  <si>
    <t>TRN-9289</t>
  </si>
  <si>
    <t>2024-06-02</t>
  </si>
  <si>
    <t>TRN-9290</t>
  </si>
  <si>
    <t>2025-11-30</t>
  </si>
  <si>
    <t xml:space="preserve"> CUST-1171 </t>
  </si>
  <si>
    <t>TRN-9291</t>
  </si>
  <si>
    <t>2022-02-19</t>
  </si>
  <si>
    <t>TRN-9292</t>
  </si>
  <si>
    <t>TRN-9293</t>
  </si>
  <si>
    <t>2026-01-02</t>
  </si>
  <si>
    <t>TRN-9294</t>
  </si>
  <si>
    <t>2022-06-18</t>
  </si>
  <si>
    <t>CUST-1086</t>
  </si>
  <si>
    <t>TRN-9295</t>
  </si>
  <si>
    <t>2023-10-20</t>
  </si>
  <si>
    <t>TRN-9296</t>
  </si>
  <si>
    <t>2025-12-21</t>
  </si>
  <si>
    <t>TRN-9297</t>
  </si>
  <si>
    <t>2023-01-06</t>
  </si>
  <si>
    <t>CUST-1108</t>
  </si>
  <si>
    <t>TRN-9298</t>
  </si>
  <si>
    <t>2024-05-16</t>
  </si>
  <si>
    <t>TRN-9299</t>
  </si>
  <si>
    <t>2023-02-19</t>
  </si>
  <si>
    <t>CUST-1057</t>
  </si>
  <si>
    <t>TRN-9300</t>
  </si>
  <si>
    <t>TRN-9301</t>
  </si>
  <si>
    <t>2025-03-23</t>
  </si>
  <si>
    <t>TRN-9303</t>
  </si>
  <si>
    <t>2022-08-30</t>
  </si>
  <si>
    <t>CUST-1143</t>
  </si>
  <si>
    <t>TRN-9304</t>
  </si>
  <si>
    <t>2025-10-29</t>
  </si>
  <si>
    <t>TRN-9305</t>
  </si>
  <si>
    <t>2023-08-23</t>
  </si>
  <si>
    <t>TRN-9306</t>
  </si>
  <si>
    <t>CUST-1011</t>
  </si>
  <si>
    <t>TRN-9307</t>
  </si>
  <si>
    <t>TRN-9308</t>
  </si>
  <si>
    <t>2025-04-23</t>
  </si>
  <si>
    <t>TRN-9309</t>
  </si>
  <si>
    <t>2024-12-18</t>
  </si>
  <si>
    <t>CUST-1045</t>
  </si>
  <si>
    <t>TRN-9310</t>
  </si>
  <si>
    <t>2022-10-12</t>
  </si>
  <si>
    <t>TRN-9311</t>
  </si>
  <si>
    <t>CUST-1077</t>
  </si>
  <si>
    <t xml:space="preserve"> EMP-0201 </t>
  </si>
  <si>
    <t>TRN-9312</t>
  </si>
  <si>
    <t>2022-11-21</t>
  </si>
  <si>
    <t>TRN-9313</t>
  </si>
  <si>
    <t>2024-11-28</t>
  </si>
  <si>
    <t>TRN-9314</t>
  </si>
  <si>
    <t xml:space="preserve"> 2022-08-22 </t>
  </si>
  <si>
    <t>TRN-9315</t>
  </si>
  <si>
    <t>2024-10-05</t>
  </si>
  <si>
    <t>TRN-9317</t>
  </si>
  <si>
    <t>2025-11-12</t>
  </si>
  <si>
    <t>TRN-9318</t>
  </si>
  <si>
    <t>2025-03-24</t>
  </si>
  <si>
    <t>TRN-9319</t>
  </si>
  <si>
    <t>2022-08-28</t>
  </si>
  <si>
    <t>TRN-9320</t>
  </si>
  <si>
    <t>2022-06-23</t>
  </si>
  <si>
    <t>TRN-9321</t>
  </si>
  <si>
    <t>2023-06-22</t>
  </si>
  <si>
    <t xml:space="preserve"> EMP-0303 </t>
  </si>
  <si>
    <t>TRN-9322</t>
  </si>
  <si>
    <t>2025-06-22</t>
  </si>
  <si>
    <t>CUST-1079</t>
  </si>
  <si>
    <t>TRN-9323</t>
  </si>
  <si>
    <t>2023-11-19</t>
  </si>
  <si>
    <t>TRN-9324</t>
  </si>
  <si>
    <t>TRN-9325</t>
  </si>
  <si>
    <t>CUST-1032</t>
  </si>
  <si>
    <t>TRN-9326</t>
  </si>
  <si>
    <t>2025-09-28</t>
  </si>
  <si>
    <t>TRN-9327</t>
  </si>
  <si>
    <t>2023-06-11</t>
  </si>
  <si>
    <t>TRN-9328</t>
  </si>
  <si>
    <t>TRN-9329</t>
  </si>
  <si>
    <t>2022-02-13</t>
  </si>
  <si>
    <t>TRN-9330</t>
  </si>
  <si>
    <t>2023-02-11</t>
  </si>
  <si>
    <t>TRN-9331</t>
  </si>
  <si>
    <t>2025-01-05</t>
  </si>
  <si>
    <t>TRN-9332</t>
  </si>
  <si>
    <t>2022-01-10</t>
  </si>
  <si>
    <t>TRN-9333</t>
  </si>
  <si>
    <t>TRN-9334</t>
  </si>
  <si>
    <t>2025-05-05</t>
  </si>
  <si>
    <t>TRN-9335</t>
  </si>
  <si>
    <t>TRN-9336</t>
  </si>
  <si>
    <t>2024-09-27</t>
  </si>
  <si>
    <t>TRN-9337</t>
  </si>
  <si>
    <t>2024-02-01</t>
  </si>
  <si>
    <t>TRN-9338</t>
  </si>
  <si>
    <t>TRN-9339</t>
  </si>
  <si>
    <t>2023-01-04</t>
  </si>
  <si>
    <t>TRN-9340</t>
  </si>
  <si>
    <t>2024-08-15</t>
  </si>
  <si>
    <t>CUST-1046</t>
  </si>
  <si>
    <t>TRN-9341</t>
  </si>
  <si>
    <t>TRN-9342</t>
  </si>
  <si>
    <t>2025-07-28</t>
  </si>
  <si>
    <t>CUST-1110</t>
  </si>
  <si>
    <t>TRN-9343</t>
  </si>
  <si>
    <t>TRN-9344</t>
  </si>
  <si>
    <t>2022-04-23</t>
  </si>
  <si>
    <t>CUST-1140</t>
  </si>
  <si>
    <t>TRN-9345</t>
  </si>
  <si>
    <t>2024-04-16</t>
  </si>
  <si>
    <t>TRN-9346</t>
  </si>
  <si>
    <t>2026-01-14</t>
  </si>
  <si>
    <t>TRN-9347</t>
  </si>
  <si>
    <t>TRN-9348</t>
  </si>
  <si>
    <t>2025-09-07</t>
  </si>
  <si>
    <t>TRN-9349</t>
  </si>
  <si>
    <t>CUST-1132</t>
  </si>
  <si>
    <t>2025-07-09</t>
  </si>
  <si>
    <t>TRN-9351</t>
  </si>
  <si>
    <t>TRN-9352</t>
  </si>
  <si>
    <t>2024-11-22</t>
  </si>
  <si>
    <t>TRN-9353</t>
  </si>
  <si>
    <t>2023-11-24</t>
  </si>
  <si>
    <t xml:space="preserve"> TRN-9354 </t>
  </si>
  <si>
    <t>2023-06-02</t>
  </si>
  <si>
    <t>CUST-1003</t>
  </si>
  <si>
    <t>TRN-9355</t>
  </si>
  <si>
    <t>2024-08-21</t>
  </si>
  <si>
    <t>TRN-9356</t>
  </si>
  <si>
    <t xml:space="preserve"> 2025-11-03 </t>
  </si>
  <si>
    <t>CUST-1039</t>
  </si>
  <si>
    <t>TRN-9357</t>
  </si>
  <si>
    <t>2023-08-20</t>
  </si>
  <si>
    <t xml:space="preserve"> CUST-1036 </t>
  </si>
  <si>
    <t>TRN-9359</t>
  </si>
  <si>
    <t>2024-04-20</t>
  </si>
  <si>
    <t>TRN-9361</t>
  </si>
  <si>
    <t>2025-04-14</t>
  </si>
  <si>
    <t xml:space="preserve"> TRN-9362 </t>
  </si>
  <si>
    <t>TRN-9363</t>
  </si>
  <si>
    <t>TRN-9364</t>
  </si>
  <si>
    <t>2025-08-08</t>
  </si>
  <si>
    <t>TRN-9366</t>
  </si>
  <si>
    <t>2025-08-16</t>
  </si>
  <si>
    <t>TRN-9367</t>
  </si>
  <si>
    <t>2025-12-05</t>
  </si>
  <si>
    <t>CUST-1016</t>
  </si>
  <si>
    <t>TRN-9368</t>
  </si>
  <si>
    <t>CUST-1059</t>
  </si>
  <si>
    <t xml:space="preserve"> TRN-9369 </t>
  </si>
  <si>
    <t xml:space="preserve"> 2023-07-01 </t>
  </si>
  <si>
    <t xml:space="preserve"> CUST-1189 </t>
  </si>
  <si>
    <t>TRN-9370</t>
  </si>
  <si>
    <t>TRN-9371</t>
  </si>
  <si>
    <t>2022-02-17</t>
  </si>
  <si>
    <t>CUST-1013</t>
  </si>
  <si>
    <t>TRN-9372</t>
  </si>
  <si>
    <t>TRN-9373</t>
  </si>
  <si>
    <t>2022-09-15</t>
  </si>
  <si>
    <t>TRN-9374</t>
  </si>
  <si>
    <t>2024-05-15</t>
  </si>
  <si>
    <t>TRN-9375</t>
  </si>
  <si>
    <t>CUST-1154</t>
  </si>
  <si>
    <t>TRN-9376</t>
  </si>
  <si>
    <t>2023-10-11</t>
  </si>
  <si>
    <t>TRN-9377</t>
  </si>
  <si>
    <t>2024-01-31</t>
  </si>
  <si>
    <t>TRN-9378</t>
  </si>
  <si>
    <t>2024-05-11</t>
  </si>
  <si>
    <t>TRN-9380</t>
  </si>
  <si>
    <t>2025-04-25</t>
  </si>
  <si>
    <t>TRN-9381</t>
  </si>
  <si>
    <t>2022-10-09</t>
  </si>
  <si>
    <t>TRN-9382</t>
  </si>
  <si>
    <t>2024-11-16</t>
  </si>
  <si>
    <t>CUST-1180</t>
  </si>
  <si>
    <t>TRN-9383</t>
  </si>
  <si>
    <t>2022-05-28</t>
  </si>
  <si>
    <t>TRN-9385</t>
  </si>
  <si>
    <t>2023-07-12</t>
  </si>
  <si>
    <t>TRN-9386</t>
  </si>
  <si>
    <t>2022-11-09</t>
  </si>
  <si>
    <t>TRN-9387</t>
  </si>
  <si>
    <t>2024-05-10</t>
  </si>
  <si>
    <t>TRN-9388</t>
  </si>
  <si>
    <t>2022-04-15</t>
  </si>
  <si>
    <t>TRN-9390</t>
  </si>
  <si>
    <t xml:space="preserve"> 2025-09-14 </t>
  </si>
  <si>
    <t>TRN-9391</t>
  </si>
  <si>
    <t>2023-12-29</t>
  </si>
  <si>
    <t>TRN-9392</t>
  </si>
  <si>
    <t>2024-12-25</t>
  </si>
  <si>
    <t>CUST-1034</t>
  </si>
  <si>
    <t>TRN-9393</t>
  </si>
  <si>
    <t>2023-05-01</t>
  </si>
  <si>
    <t>TRN-9394</t>
  </si>
  <si>
    <t>2023-01-27</t>
  </si>
  <si>
    <t>TRN-9396</t>
  </si>
  <si>
    <t>2025-06-18</t>
  </si>
  <si>
    <t>TRN-9397</t>
  </si>
  <si>
    <t>2024-04-12</t>
  </si>
  <si>
    <t>TRN-9398</t>
  </si>
  <si>
    <t>TRN-9399</t>
  </si>
  <si>
    <t>2022-09-14</t>
  </si>
  <si>
    <t>CUST-1006</t>
  </si>
  <si>
    <t>TRN-9400</t>
  </si>
  <si>
    <t>TRN-9401</t>
  </si>
  <si>
    <t>2022-06-15</t>
  </si>
  <si>
    <t>CUST-1194</t>
  </si>
  <si>
    <t>TRN-9402</t>
  </si>
  <si>
    <t>2024-11-07</t>
  </si>
  <si>
    <t>TRN-9403</t>
  </si>
  <si>
    <t xml:space="preserve"> 2023-02-25 </t>
  </si>
  <si>
    <t>2023-02-25</t>
  </si>
  <si>
    <t>TRN-9405</t>
  </si>
  <si>
    <t>2025-05-16</t>
  </si>
  <si>
    <t>TRN-9406</t>
  </si>
  <si>
    <t>2025-10-05</t>
  </si>
  <si>
    <t>TRN-9407</t>
  </si>
  <si>
    <t xml:space="preserve"> 2022-12-08 </t>
  </si>
  <si>
    <t>TRN-9408</t>
  </si>
  <si>
    <t>2024-07-13</t>
  </si>
  <si>
    <t xml:space="preserve"> EMP-0103 </t>
  </si>
  <si>
    <t>TRN-9410</t>
  </si>
  <si>
    <t>2025-02-14</t>
  </si>
  <si>
    <t>TRN-9411</t>
  </si>
  <si>
    <t>2025-12-01</t>
  </si>
  <si>
    <t>CUST-1052</t>
  </si>
  <si>
    <t>TRN-9412</t>
  </si>
  <si>
    <t>2025-01-09</t>
  </si>
  <si>
    <t xml:space="preserve"> CUST-1093 </t>
  </si>
  <si>
    <t>TRN-9413</t>
  </si>
  <si>
    <t>2023-05-25</t>
  </si>
  <si>
    <t>TRN-9414</t>
  </si>
  <si>
    <t>2024-10-31</t>
  </si>
  <si>
    <t>TRN-9415</t>
  </si>
  <si>
    <t>2025-10-31</t>
  </si>
  <si>
    <t>TRN-9416</t>
  </si>
  <si>
    <t>TRN-9417</t>
  </si>
  <si>
    <t>TRN-9418</t>
  </si>
  <si>
    <t>TRN-9419</t>
  </si>
  <si>
    <t>2022-06-03</t>
  </si>
  <si>
    <t>CUST-1076</t>
  </si>
  <si>
    <t>TRN-9420</t>
  </si>
  <si>
    <t xml:space="preserve"> CUST-1129 </t>
  </si>
  <si>
    <t>TRN-9421</t>
  </si>
  <si>
    <t>2023-08-12</t>
  </si>
  <si>
    <t>TRN-9422</t>
  </si>
  <si>
    <t>2025-11-20</t>
  </si>
  <si>
    <t>CUST-1187</t>
  </si>
  <si>
    <t>TRN-9423</t>
  </si>
  <si>
    <t>2025-11-24</t>
  </si>
  <si>
    <t>TRN-9424</t>
  </si>
  <si>
    <t>2022-06-04</t>
  </si>
  <si>
    <t xml:space="preserve"> TRN-9425 </t>
  </si>
  <si>
    <t>TRN-9426</t>
  </si>
  <si>
    <t>2022-12-31</t>
  </si>
  <si>
    <t>TRN-9427</t>
  </si>
  <si>
    <t>2024-06-13</t>
  </si>
  <si>
    <t xml:space="preserve"> TRN-9428 </t>
  </si>
  <si>
    <t>TRN-9429</t>
  </si>
  <si>
    <t>TRN-9430</t>
  </si>
  <si>
    <t>CUST-1105</t>
  </si>
  <si>
    <t>TRN-9431</t>
  </si>
  <si>
    <t>2024-12-03</t>
  </si>
  <si>
    <t>TRN-9432</t>
  </si>
  <si>
    <t>2023-05-21</t>
  </si>
  <si>
    <t>TRN-9433</t>
  </si>
  <si>
    <t>2026-01-07</t>
  </si>
  <si>
    <t>TRN-9434</t>
  </si>
  <si>
    <t xml:space="preserve"> EMP-0105 </t>
  </si>
  <si>
    <t>TRN-9435</t>
  </si>
  <si>
    <t>2025-01-10</t>
  </si>
  <si>
    <t>TRN-9436</t>
  </si>
  <si>
    <t>CUST-1031</t>
  </si>
  <si>
    <t>TRN-9437</t>
  </si>
  <si>
    <t>TRN-9438</t>
  </si>
  <si>
    <t>TRN-9439</t>
  </si>
  <si>
    <t>2024-03-06</t>
  </si>
  <si>
    <t>TRN-9440</t>
  </si>
  <si>
    <t>2025-07-23</t>
  </si>
  <si>
    <t>TRN-9441</t>
  </si>
  <si>
    <t>2022-06-08</t>
  </si>
  <si>
    <t>TRN-9442</t>
  </si>
  <si>
    <t>2024-07-15</t>
  </si>
  <si>
    <t>TRN-9443</t>
  </si>
  <si>
    <t>2023-08-25</t>
  </si>
  <si>
    <t>TRN-9444</t>
  </si>
  <si>
    <t>TRN-9445</t>
  </si>
  <si>
    <t>TRN-9446</t>
  </si>
  <si>
    <t>2025-02-13</t>
  </si>
  <si>
    <t>TRN-9447</t>
  </si>
  <si>
    <t>2023-11-28</t>
  </si>
  <si>
    <t>CUST-1088</t>
  </si>
  <si>
    <t>TRN-9448</t>
  </si>
  <si>
    <t xml:space="preserve"> 2024-05-08 </t>
  </si>
  <si>
    <t>TRN-9449</t>
  </si>
  <si>
    <t xml:space="preserve"> TRN-9450 </t>
  </si>
  <si>
    <t>TRN-9451</t>
  </si>
  <si>
    <t>2024-03-26</t>
  </si>
  <si>
    <t>TRN-9452</t>
  </si>
  <si>
    <t>2025-08-29</t>
  </si>
  <si>
    <t xml:space="preserve"> CUST-1172 </t>
  </si>
  <si>
    <t>TRN-9453</t>
  </si>
  <si>
    <t>2023-03-11</t>
  </si>
  <si>
    <t>TRN-9454</t>
  </si>
  <si>
    <t>2022-09-05</t>
  </si>
  <si>
    <t>TRN-9455</t>
  </si>
  <si>
    <t>TRN-9457</t>
  </si>
  <si>
    <t>2023-08-10</t>
  </si>
  <si>
    <t>TRN-9458</t>
  </si>
  <si>
    <t>2023-01-09</t>
  </si>
  <si>
    <t>TRN-9459</t>
  </si>
  <si>
    <t xml:space="preserve"> 2023-02-03 </t>
  </si>
  <si>
    <t>CUST-1133</t>
  </si>
  <si>
    <t>TRN-9460</t>
  </si>
  <si>
    <t>2023-05-05</t>
  </si>
  <si>
    <t>CUST-1087</t>
  </si>
  <si>
    <t>TRN-9462</t>
  </si>
  <si>
    <t>2024-08-29</t>
  </si>
  <si>
    <t>TRN-9463</t>
  </si>
  <si>
    <t>2023-10-03</t>
  </si>
  <si>
    <t>TRN-9464</t>
  </si>
  <si>
    <t>2024-05-30</t>
  </si>
  <si>
    <t>TRN-9465</t>
  </si>
  <si>
    <t>CUST-1099</t>
  </si>
  <si>
    <t>TRN-9466</t>
  </si>
  <si>
    <t>2024-05-08</t>
  </si>
  <si>
    <t>TRN-9467</t>
  </si>
  <si>
    <t>TRN-9468</t>
  </si>
  <si>
    <t>2023-09-06</t>
  </si>
  <si>
    <t>TRN-9469</t>
  </si>
  <si>
    <t>2025-09-20</t>
  </si>
  <si>
    <t>TRN-9470</t>
  </si>
  <si>
    <t>TRN-9471</t>
  </si>
  <si>
    <t>2025-11-10</t>
  </si>
  <si>
    <t>TRN-9472</t>
  </si>
  <si>
    <t>2025-05-08</t>
  </si>
  <si>
    <t>TRN-9473</t>
  </si>
  <si>
    <t>2024-08-16</t>
  </si>
  <si>
    <t xml:space="preserve"> EMP-0203 </t>
  </si>
  <si>
    <t>TRN-9474</t>
  </si>
  <si>
    <t xml:space="preserve"> 2023-09-11 </t>
  </si>
  <si>
    <t>TRN-9475</t>
  </si>
  <si>
    <t>CUST-1113</t>
  </si>
  <si>
    <t>TRN-9476</t>
  </si>
  <si>
    <t>TRN-9477</t>
  </si>
  <si>
    <t>TRN-9478</t>
  </si>
  <si>
    <t>2022-04-14</t>
  </si>
  <si>
    <t>TRN-9479</t>
  </si>
  <si>
    <t>2025-07-14</t>
  </si>
  <si>
    <t>CUST-1033</t>
  </si>
  <si>
    <t>TRN-9480</t>
  </si>
  <si>
    <t>2025-05-21</t>
  </si>
  <si>
    <t>TRN-9481</t>
  </si>
  <si>
    <t>2024-11-06</t>
  </si>
  <si>
    <t xml:space="preserve"> TRN-9482 </t>
  </si>
  <si>
    <t>2024-03-08</t>
  </si>
  <si>
    <t>TRN-9482</t>
  </si>
  <si>
    <t>TRN-9484</t>
  </si>
  <si>
    <t>TRN-9485</t>
  </si>
  <si>
    <t>2025-07-01</t>
  </si>
  <si>
    <t>TRN-9486</t>
  </si>
  <si>
    <t>2022-07-15</t>
  </si>
  <si>
    <t>TRN-9487</t>
  </si>
  <si>
    <t>2024-07-06</t>
  </si>
  <si>
    <t>TRN-9488</t>
  </si>
  <si>
    <t>2023-02-21</t>
  </si>
  <si>
    <t>TRN-9490</t>
  </si>
  <si>
    <t xml:space="preserve"> 2022-09-01 </t>
  </si>
  <si>
    <t>CUST-1064</t>
  </si>
  <si>
    <t>TRN-9491</t>
  </si>
  <si>
    <t>TRN-9492</t>
  </si>
  <si>
    <t>2023-05-19</t>
  </si>
  <si>
    <t>TRN-9493</t>
  </si>
  <si>
    <t>2025-09-18</t>
  </si>
  <si>
    <t>TRN-9494</t>
  </si>
  <si>
    <t xml:space="preserve"> EMP-0301 </t>
  </si>
  <si>
    <t>TRN-9495</t>
  </si>
  <si>
    <t>CUST-1041</t>
  </si>
  <si>
    <t>TRN-9497</t>
  </si>
  <si>
    <t>2025-04-26</t>
  </si>
  <si>
    <t>TRN-9498</t>
  </si>
  <si>
    <t>2022-12-12</t>
  </si>
  <si>
    <t>TRN-9499</t>
  </si>
  <si>
    <t>TRN-9500</t>
  </si>
  <si>
    <t>2025-01-22</t>
  </si>
  <si>
    <t>TRN-9501</t>
  </si>
  <si>
    <t>2022-09-11</t>
  </si>
  <si>
    <t>TRN-9503</t>
  </si>
  <si>
    <t>2022-06-26</t>
  </si>
  <si>
    <t>TRN-9504</t>
  </si>
  <si>
    <t>2025-02-23</t>
  </si>
  <si>
    <t>TRN-9506</t>
  </si>
  <si>
    <t>2026-01-20</t>
  </si>
  <si>
    <t>TRN-9507</t>
  </si>
  <si>
    <t>2024-01-22</t>
  </si>
  <si>
    <t>TRN-9509</t>
  </si>
  <si>
    <t>2024-03-05</t>
  </si>
  <si>
    <t>TRN-9510</t>
  </si>
  <si>
    <t>2022-09-19</t>
  </si>
  <si>
    <t xml:space="preserve"> CUST-1059 </t>
  </si>
  <si>
    <t>TRN-9511</t>
  </si>
  <si>
    <t>TRN-9512</t>
  </si>
  <si>
    <t>2023-12-20</t>
  </si>
  <si>
    <t>TRN-9513</t>
  </si>
  <si>
    <t>TRN-9514</t>
  </si>
  <si>
    <t>TRN-9515</t>
  </si>
  <si>
    <t>2024-06-18</t>
  </si>
  <si>
    <t>TRN-9516</t>
  </si>
  <si>
    <t>2023-08-22</t>
  </si>
  <si>
    <t>TRN-9517</t>
  </si>
  <si>
    <t>2024-08-12</t>
  </si>
  <si>
    <t>TRN-9518</t>
  </si>
  <si>
    <t>2024-11-03</t>
  </si>
  <si>
    <t>TRN-9519</t>
  </si>
  <si>
    <t>2024-07-07</t>
  </si>
  <si>
    <t xml:space="preserve"> TRN-9520 </t>
  </si>
  <si>
    <t>2023-07-24</t>
  </si>
  <si>
    <t>TRN-9521</t>
  </si>
  <si>
    <t>2025-05-03</t>
  </si>
  <si>
    <t>TRN-9522</t>
  </si>
  <si>
    <t>2024-11-25</t>
  </si>
  <si>
    <t>TRN-9523</t>
  </si>
  <si>
    <t>2023-02-06</t>
  </si>
  <si>
    <t>TRN-9524</t>
  </si>
  <si>
    <t>2023-06-12</t>
  </si>
  <si>
    <t>TRN-9525</t>
  </si>
  <si>
    <t>2025-07-30</t>
  </si>
  <si>
    <t>TRN-9526</t>
  </si>
  <si>
    <t xml:space="preserve"> 2022-02-27 </t>
  </si>
  <si>
    <t>TRN-9527</t>
  </si>
  <si>
    <t xml:space="preserve"> 2022-08-06 </t>
  </si>
  <si>
    <t>TRN-9528</t>
  </si>
  <si>
    <t>2025-05-09</t>
  </si>
  <si>
    <t>CUST-1019</t>
  </si>
  <si>
    <t>TRN-9529</t>
  </si>
  <si>
    <t>2025-01-16</t>
  </si>
  <si>
    <t>CUST-1025</t>
  </si>
  <si>
    <t>TRN-9530</t>
  </si>
  <si>
    <t>2022-12-02</t>
  </si>
  <si>
    <t>TRN-9531</t>
  </si>
  <si>
    <t xml:space="preserve"> CUST-1198 </t>
  </si>
  <si>
    <t>TRN-9532</t>
  </si>
  <si>
    <t>TRN-9533</t>
  </si>
  <si>
    <t>2024-06-12</t>
  </si>
  <si>
    <t>CUST-1183</t>
  </si>
  <si>
    <t>TRN-9534</t>
  </si>
  <si>
    <t>2025-12-06</t>
  </si>
  <si>
    <t>TRN-9535</t>
  </si>
  <si>
    <t>2025-03-20</t>
  </si>
  <si>
    <t>TRN-9536</t>
  </si>
  <si>
    <t>TRN-9537</t>
  </si>
  <si>
    <t>2023-02-13</t>
  </si>
  <si>
    <t>TRN-9538</t>
  </si>
  <si>
    <t>TRN-9539</t>
  </si>
  <si>
    <t>TRN-9540</t>
  </si>
  <si>
    <t>2023-01-22</t>
  </si>
  <si>
    <t>TRN-9541</t>
  </si>
  <si>
    <t>CUST-1141</t>
  </si>
  <si>
    <t>TRN-9543</t>
  </si>
  <si>
    <t>2025-07-18</t>
  </si>
  <si>
    <t>TRN-9544</t>
  </si>
  <si>
    <t>2024-01-24</t>
  </si>
  <si>
    <t>TRN-9545</t>
  </si>
  <si>
    <t>CUST-1049</t>
  </si>
  <si>
    <t>TRN-9546</t>
  </si>
  <si>
    <t>TRN-9547</t>
  </si>
  <si>
    <t>TRN-9548</t>
  </si>
  <si>
    <t>2022-01-25</t>
  </si>
  <si>
    <t>TRN-9549</t>
  </si>
  <si>
    <t>2022-09-16</t>
  </si>
  <si>
    <t>CUST-1067</t>
  </si>
  <si>
    <t>TRN-9550</t>
  </si>
  <si>
    <t>2023-05-07</t>
  </si>
  <si>
    <t>TRN-9551</t>
  </si>
  <si>
    <t>2024-08-03</t>
  </si>
  <si>
    <t>TRN-9553</t>
  </si>
  <si>
    <t>2023-12-26</t>
  </si>
  <si>
    <t>TRN-9554</t>
  </si>
  <si>
    <t>2022-03-12</t>
  </si>
  <si>
    <t xml:space="preserve"> TRN-9555 </t>
  </si>
  <si>
    <t>2025-07-27</t>
  </si>
  <si>
    <t>TRN-9556</t>
  </si>
  <si>
    <t>2022-11-05</t>
  </si>
  <si>
    <t xml:space="preserve"> TRN-9557 </t>
  </si>
  <si>
    <t>2024-03-16</t>
  </si>
  <si>
    <t>TRN-9558</t>
  </si>
  <si>
    <t>2023-09-02</t>
  </si>
  <si>
    <t>TRN-9559</t>
  </si>
  <si>
    <t>2022-12-11</t>
  </si>
  <si>
    <t>TRN-9560</t>
  </si>
  <si>
    <t xml:space="preserve"> 2025-11-17 </t>
  </si>
  <si>
    <t>TRN-9561</t>
  </si>
  <si>
    <t xml:space="preserve"> 2022-08-13 </t>
  </si>
  <si>
    <t>TRN-9562</t>
  </si>
  <si>
    <t>2024-04-08</t>
  </si>
  <si>
    <t>TRN-9563</t>
  </si>
  <si>
    <t>TRN-9564</t>
  </si>
  <si>
    <t>2023-07-07</t>
  </si>
  <si>
    <t xml:space="preserve"> TRN-9565 </t>
  </si>
  <si>
    <t>CUST-1134</t>
  </si>
  <si>
    <t>TRN-9566</t>
  </si>
  <si>
    <t>2023-02-24</t>
  </si>
  <si>
    <t>TRN-9567</t>
  </si>
  <si>
    <t>TRN-9568</t>
  </si>
  <si>
    <t>2023-11-30</t>
  </si>
  <si>
    <t>TRN-9569</t>
  </si>
  <si>
    <t>TRN-9570</t>
  </si>
  <si>
    <t>2025-07-12</t>
  </si>
  <si>
    <t>TRN-9571</t>
  </si>
  <si>
    <t>2022-01-11</t>
  </si>
  <si>
    <t>TRN-9572</t>
  </si>
  <si>
    <t>2026-01-16</t>
  </si>
  <si>
    <t>TRN-9573</t>
  </si>
  <si>
    <t>2022-06-25</t>
  </si>
  <si>
    <t>CUST-1043</t>
  </si>
  <si>
    <t>TRN-9574</t>
  </si>
  <si>
    <t>2023-07-13</t>
  </si>
  <si>
    <t xml:space="preserve"> EMP-0305 </t>
  </si>
  <si>
    <t>TRN-9575</t>
  </si>
  <si>
    <t>TRN-9576</t>
  </si>
  <si>
    <t>2023-10-10</t>
  </si>
  <si>
    <t xml:space="preserve"> CUST-1099 </t>
  </si>
  <si>
    <t>TRN-9577</t>
  </si>
  <si>
    <t>2023-06-10</t>
  </si>
  <si>
    <t>TRN-9578</t>
  </si>
  <si>
    <t>2024-03-12</t>
  </si>
  <si>
    <t>CUST-1084</t>
  </si>
  <si>
    <t>TRN-9579</t>
  </si>
  <si>
    <t>2024-07-25</t>
  </si>
  <si>
    <t xml:space="preserve"> CUST-1136 </t>
  </si>
  <si>
    <t>TRN-9580</t>
  </si>
  <si>
    <t>2022-10-07</t>
  </si>
  <si>
    <t>TRN-9581</t>
  </si>
  <si>
    <t>2025-05-10</t>
  </si>
  <si>
    <t>TRN-9582</t>
  </si>
  <si>
    <t xml:space="preserve"> CUST-1050 </t>
  </si>
  <si>
    <t>TRN-9583</t>
  </si>
  <si>
    <t>2024-08-05</t>
  </si>
  <si>
    <t>TRN-9584</t>
  </si>
  <si>
    <t>2025-01-31</t>
  </si>
  <si>
    <t>TRN-9585</t>
  </si>
  <si>
    <t>2024-09-29</t>
  </si>
  <si>
    <t>TRN-9586</t>
  </si>
  <si>
    <t>2024-05-17</t>
  </si>
  <si>
    <t>TRN-9587</t>
  </si>
  <si>
    <t>2022-01-17</t>
  </si>
  <si>
    <t xml:space="preserve"> TRN-9588 </t>
  </si>
  <si>
    <t>TRN-9589</t>
  </si>
  <si>
    <t>2025-09-29</t>
  </si>
  <si>
    <t>TRN-9590</t>
  </si>
  <si>
    <t>2023-12-21</t>
  </si>
  <si>
    <t>TRN-9591</t>
  </si>
  <si>
    <t xml:space="preserve"> TRN-9592 </t>
  </si>
  <si>
    <t>2023-08-30</t>
  </si>
  <si>
    <t>TRN-9593</t>
  </si>
  <si>
    <t>2025-04-24</t>
  </si>
  <si>
    <t>TRN-9594</t>
  </si>
  <si>
    <t>2022-09-02</t>
  </si>
  <si>
    <t>TRN-9595</t>
  </si>
  <si>
    <t>2023-01-16</t>
  </si>
  <si>
    <t>TRN-9596</t>
  </si>
  <si>
    <t>TRN-9597</t>
  </si>
  <si>
    <t>2023-04-29</t>
  </si>
  <si>
    <t>TRN-9598</t>
  </si>
  <si>
    <t>TRN-9599</t>
  </si>
  <si>
    <t>2023-03-23</t>
  </si>
  <si>
    <t>TRN-9600</t>
  </si>
  <si>
    <t xml:space="preserve"> 2023-11-02 </t>
  </si>
  <si>
    <t>TRN-9601</t>
  </si>
  <si>
    <t>2024-11-20</t>
  </si>
  <si>
    <t>TRN-9602</t>
  </si>
  <si>
    <t>2022-11-04</t>
  </si>
  <si>
    <t>TRN-9603</t>
  </si>
  <si>
    <t>2022-08-22</t>
  </si>
  <si>
    <t xml:space="preserve"> CUST-1187 </t>
  </si>
  <si>
    <t>TRN-9604</t>
  </si>
  <si>
    <t>2023-02-26</t>
  </si>
  <si>
    <t>TRN-9605</t>
  </si>
  <si>
    <t>2024-12-17</t>
  </si>
  <si>
    <t>TRN-9607</t>
  </si>
  <si>
    <t>TRN-9608</t>
  </si>
  <si>
    <t>2024-04-23</t>
  </si>
  <si>
    <t>TRN-9609</t>
  </si>
  <si>
    <t>2023-06-27</t>
  </si>
  <si>
    <t>TRN-9611</t>
  </si>
  <si>
    <t>TRN-9612</t>
  </si>
  <si>
    <t>2022-12-30</t>
  </si>
  <si>
    <t>TRN-9613</t>
  </si>
  <si>
    <t>CUST-1115</t>
  </si>
  <si>
    <t>TRN-9615</t>
  </si>
  <si>
    <t>2025-10-16</t>
  </si>
  <si>
    <t>TRN-9616</t>
  </si>
  <si>
    <t>2024-08-25</t>
  </si>
  <si>
    <t>TRN-9617</t>
  </si>
  <si>
    <t>TRN-9618</t>
  </si>
  <si>
    <t>2023-12-13</t>
  </si>
  <si>
    <t>TRN-9619</t>
  </si>
  <si>
    <t>2022-09-03</t>
  </si>
  <si>
    <t xml:space="preserve"> TRN-9620 </t>
  </si>
  <si>
    <t>2023-09-29</t>
  </si>
  <si>
    <t>2024-08-28</t>
  </si>
  <si>
    <t>TRN-9621</t>
  </si>
  <si>
    <t>TRN-9623</t>
  </si>
  <si>
    <t>2023-11-08</t>
  </si>
  <si>
    <t xml:space="preserve"> TRN-9624 </t>
  </si>
  <si>
    <t>2022-10-11</t>
  </si>
  <si>
    <t>TRN-9626</t>
  </si>
  <si>
    <t>TRN-9627</t>
  </si>
  <si>
    <t>TRN-9628</t>
  </si>
  <si>
    <t>2024-10-21</t>
  </si>
  <si>
    <t>TRN-9629</t>
  </si>
  <si>
    <t>TRN-9630</t>
  </si>
  <si>
    <t>TRN-9631</t>
  </si>
  <si>
    <t>2023-02-20</t>
  </si>
  <si>
    <t>TRN-9632</t>
  </si>
  <si>
    <t>TRN-9633</t>
  </si>
  <si>
    <t>2022-03-06</t>
  </si>
  <si>
    <t>TRN-9634</t>
  </si>
  <si>
    <t>TRN-9635</t>
  </si>
  <si>
    <t>2025-07-25</t>
  </si>
  <si>
    <t>TRN-9636</t>
  </si>
  <si>
    <t>2022-07-11</t>
  </si>
  <si>
    <t>TRN-9637</t>
  </si>
  <si>
    <t>2025-02-10</t>
  </si>
  <si>
    <t>TRN-9638</t>
  </si>
  <si>
    <t>TRN-9639</t>
  </si>
  <si>
    <t>2024-03-07</t>
  </si>
  <si>
    <t>TRN-9640</t>
  </si>
  <si>
    <t>TRN-9641</t>
  </si>
  <si>
    <t>2022-11-16</t>
  </si>
  <si>
    <t>TRN-9642</t>
  </si>
  <si>
    <t>2025-09-24</t>
  </si>
  <si>
    <t>TRN-9643</t>
  </si>
  <si>
    <t>2023-10-18</t>
  </si>
  <si>
    <t>TRN-9644</t>
  </si>
  <si>
    <t>2022-07-21</t>
  </si>
  <si>
    <t>TRN-9645</t>
  </si>
  <si>
    <t xml:space="preserve"> 2022-03-22 </t>
  </si>
  <si>
    <t>TRN-9646</t>
  </si>
  <si>
    <t>2024-06-17</t>
  </si>
  <si>
    <t>TRN-9647</t>
  </si>
  <si>
    <t>2022-05-08</t>
  </si>
  <si>
    <t>TRN-9648</t>
  </si>
  <si>
    <t xml:space="preserve"> 2025-01-30 </t>
  </si>
  <si>
    <t>TRN-9649</t>
  </si>
  <si>
    <t>TRN-9650</t>
  </si>
  <si>
    <t>TRN-9651</t>
  </si>
  <si>
    <t xml:space="preserve"> 2024-09-08 </t>
  </si>
  <si>
    <t>TRN-9652</t>
  </si>
  <si>
    <t>2022-07-29</t>
  </si>
  <si>
    <t>TRN-9653</t>
  </si>
  <si>
    <t>2023-11-12</t>
  </si>
  <si>
    <t>TRN-9655</t>
  </si>
  <si>
    <t>TRN-9656</t>
  </si>
  <si>
    <t>2023-03-04</t>
  </si>
  <si>
    <t>TRN-9657</t>
  </si>
  <si>
    <t>2022-10-18</t>
  </si>
  <si>
    <t>TRN-9658</t>
  </si>
  <si>
    <t xml:space="preserve"> 2022-05-31 </t>
  </si>
  <si>
    <t>2023-04-26</t>
  </si>
  <si>
    <t>TRN-9660</t>
  </si>
  <si>
    <t>2025-02-08</t>
  </si>
  <si>
    <t>TRN-9661</t>
  </si>
  <si>
    <t>CUST-1055</t>
  </si>
  <si>
    <t>TRN-9662</t>
  </si>
  <si>
    <t>2025-12-29</t>
  </si>
  <si>
    <t>TRN-9663</t>
  </si>
  <si>
    <t>2025-03-12</t>
  </si>
  <si>
    <t xml:space="preserve"> TRN-9664 </t>
  </si>
  <si>
    <t>2022-04-01</t>
  </si>
  <si>
    <t>TRN-9665</t>
  </si>
  <si>
    <t>2025-03-07</t>
  </si>
  <si>
    <t>TRN-9666</t>
  </si>
  <si>
    <t>2025-03-27</t>
  </si>
  <si>
    <t>TRN-9667</t>
  </si>
  <si>
    <t>2024-02-20</t>
  </si>
  <si>
    <t>TRN-9668</t>
  </si>
  <si>
    <t>2025-11-01</t>
  </si>
  <si>
    <t>TRN-9669</t>
  </si>
  <si>
    <t>TRN-9670</t>
  </si>
  <si>
    <t>2024-09-23</t>
  </si>
  <si>
    <t>TRN-9671</t>
  </si>
  <si>
    <t>TRN-9672</t>
  </si>
  <si>
    <t>TRN-9673</t>
  </si>
  <si>
    <t>TRN-9674</t>
  </si>
  <si>
    <t>TRN-9675</t>
  </si>
  <si>
    <t>TRN-9676</t>
  </si>
  <si>
    <t>2024-09-16</t>
  </si>
  <si>
    <t>TRN-9677</t>
  </si>
  <si>
    <t>2023-12-16</t>
  </si>
  <si>
    <t>TRN-9678</t>
  </si>
  <si>
    <t>2025-12-15</t>
  </si>
  <si>
    <t>TRN-9679</t>
  </si>
  <si>
    <t>2023-02-18</t>
  </si>
  <si>
    <t>TRN-9680</t>
  </si>
  <si>
    <t xml:space="preserve"> 2024-09-21 </t>
  </si>
  <si>
    <t>TRN-9681</t>
  </si>
  <si>
    <t>TRN-9682</t>
  </si>
  <si>
    <t>2022-07-19</t>
  </si>
  <si>
    <t>TRN-9683</t>
  </si>
  <si>
    <t>2024-02-24</t>
  </si>
  <si>
    <t>TRN-9684</t>
  </si>
  <si>
    <t>2023-09-04</t>
  </si>
  <si>
    <t>CUST-1093</t>
  </si>
  <si>
    <t>TRN-9685</t>
  </si>
  <si>
    <t>2023-12-15</t>
  </si>
  <si>
    <t xml:space="preserve"> TRN-9686 </t>
  </si>
  <si>
    <t>2023-05-28</t>
  </si>
  <si>
    <t>TRN-9687</t>
  </si>
  <si>
    <t>2023-09-25</t>
  </si>
  <si>
    <t xml:space="preserve"> CUST-1044 </t>
  </si>
  <si>
    <t xml:space="preserve"> TRN-9688 </t>
  </si>
  <si>
    <t>2022-04-19</t>
  </si>
  <si>
    <t>TRN-9689</t>
  </si>
  <si>
    <t>2022-09-28</t>
  </si>
  <si>
    <t>TRN-9690</t>
  </si>
  <si>
    <t>2024-12-13</t>
  </si>
  <si>
    <t>TRN-9691</t>
  </si>
  <si>
    <t>2022-07-05</t>
  </si>
  <si>
    <t>CUST-1095</t>
  </si>
  <si>
    <t>TRN-9692</t>
  </si>
  <si>
    <t>2022-05-11</t>
  </si>
  <si>
    <t>TRN-9693</t>
  </si>
  <si>
    <t>2025-12-11</t>
  </si>
  <si>
    <t>TRN-9694</t>
  </si>
  <si>
    <t>TRN-9695</t>
  </si>
  <si>
    <t>TRN-9696</t>
  </si>
  <si>
    <t>TRN-9697</t>
  </si>
  <si>
    <t>2022-04-29</t>
  </si>
  <si>
    <t>TRN-9698</t>
  </si>
  <si>
    <t>2024-06-04</t>
  </si>
  <si>
    <t>TRN-9699</t>
  </si>
  <si>
    <t>2022-04-28</t>
  </si>
  <si>
    <t>TRN-9700</t>
  </si>
  <si>
    <t>TRN-9701</t>
  </si>
  <si>
    <t>TRN-9702</t>
  </si>
  <si>
    <t>2022-02-23</t>
  </si>
  <si>
    <t>TRN-9703</t>
  </si>
  <si>
    <t>2022-11-14</t>
  </si>
  <si>
    <t>TRN-9704</t>
  </si>
  <si>
    <t>TRN-9705</t>
  </si>
  <si>
    <t>2025-03-09</t>
  </si>
  <si>
    <t>CUST-1181</t>
  </si>
  <si>
    <t>TRN-9706</t>
  </si>
  <si>
    <t>2023-10-14</t>
  </si>
  <si>
    <t>TRN-9707</t>
  </si>
  <si>
    <t>TRN-9708</t>
  </si>
  <si>
    <t>2022-06-29</t>
  </si>
  <si>
    <t>TRN-9709</t>
  </si>
  <si>
    <t>2022-10-17</t>
  </si>
  <si>
    <t>TRN-9710</t>
  </si>
  <si>
    <t>2022-02-25</t>
  </si>
  <si>
    <t>TRN-9711</t>
  </si>
  <si>
    <t>2023-06-08</t>
  </si>
  <si>
    <t>TRN-9712</t>
  </si>
  <si>
    <t>2022-01-02</t>
  </si>
  <si>
    <t>TRN-9713</t>
  </si>
  <si>
    <t>2025-11-04</t>
  </si>
  <si>
    <t>TRN-9714</t>
  </si>
  <si>
    <t>2024-04-19</t>
  </si>
  <si>
    <t>TRN-9715</t>
  </si>
  <si>
    <t>TRN-9716</t>
  </si>
  <si>
    <t>2024-06-20</t>
  </si>
  <si>
    <t>TRN-9717</t>
  </si>
  <si>
    <t>2025-04-15</t>
  </si>
  <si>
    <t>TRN-9718</t>
  </si>
  <si>
    <t>2025-01-03</t>
  </si>
  <si>
    <t>TRN-9719</t>
  </si>
  <si>
    <t>2024-06-01</t>
  </si>
  <si>
    <t>TRN-9720</t>
  </si>
  <si>
    <t>2025-11-29</t>
  </si>
  <si>
    <t>TRN-9721</t>
  </si>
  <si>
    <t>2025-12-20</t>
  </si>
  <si>
    <t>TRN-9722</t>
  </si>
  <si>
    <t>2024-11-10</t>
  </si>
  <si>
    <t>TRN-9723</t>
  </si>
  <si>
    <t>TRN-9724</t>
  </si>
  <si>
    <t>TRN-9725</t>
  </si>
  <si>
    <t>TRN-9726</t>
  </si>
  <si>
    <t>TRN-9727</t>
  </si>
  <si>
    <t>2023-12-05</t>
  </si>
  <si>
    <t>TRN-9728</t>
  </si>
  <si>
    <t>2023-12-11</t>
  </si>
  <si>
    <t xml:space="preserve"> TRN-9729 </t>
  </si>
  <si>
    <t>TRN-9730</t>
  </si>
  <si>
    <t xml:space="preserve"> CUST-1128 </t>
  </si>
  <si>
    <t>TRN-9732</t>
  </si>
  <si>
    <t>2023-02-09</t>
  </si>
  <si>
    <t>TRN-9734</t>
  </si>
  <si>
    <t>TRN-9735</t>
  </si>
  <si>
    <t>2025-04-11</t>
  </si>
  <si>
    <t>TRN-9736</t>
  </si>
  <si>
    <t>2024-06-19</t>
  </si>
  <si>
    <t>TRN-9737</t>
  </si>
  <si>
    <t>2024-07-03</t>
  </si>
  <si>
    <t>TRN-9738</t>
  </si>
  <si>
    <t>2025-08-03</t>
  </si>
  <si>
    <t>TRN-9739</t>
  </si>
  <si>
    <t>2025-05-12</t>
  </si>
  <si>
    <t>CUST-1004</t>
  </si>
  <si>
    <t xml:space="preserve"> EMP-0404 </t>
  </si>
  <si>
    <t>TRN-9740</t>
  </si>
  <si>
    <t>2022-08-26</t>
  </si>
  <si>
    <t xml:space="preserve"> 2022-05-12 </t>
  </si>
  <si>
    <t>TRN-9742</t>
  </si>
  <si>
    <t>2025-06-07</t>
  </si>
  <si>
    <t>2022-03-23</t>
  </si>
  <si>
    <t xml:space="preserve"> CUST-1051 </t>
  </si>
  <si>
    <t>TRN-9744</t>
  </si>
  <si>
    <t>2022-07-24</t>
  </si>
  <si>
    <t>TRN-9745</t>
  </si>
  <si>
    <t>TRN-9746</t>
  </si>
  <si>
    <t xml:space="preserve"> 2024-11-19 </t>
  </si>
  <si>
    <t>TRN-9747</t>
  </si>
  <si>
    <t>TRN-9748</t>
  </si>
  <si>
    <t>2025-09-13</t>
  </si>
  <si>
    <t>TRN-9749</t>
  </si>
  <si>
    <t>2025-10-17</t>
  </si>
  <si>
    <t>TRN-9750</t>
  </si>
  <si>
    <t>2023-11-23</t>
  </si>
  <si>
    <t>TRN-9751</t>
  </si>
  <si>
    <t>2022-01-04</t>
  </si>
  <si>
    <t xml:space="preserve"> TRN-9752 </t>
  </si>
  <si>
    <t>TRN-9753</t>
  </si>
  <si>
    <t>2022-09-09</t>
  </si>
  <si>
    <t>TRN-9754</t>
  </si>
  <si>
    <t>2022-09-22</t>
  </si>
  <si>
    <t>TRN-9755</t>
  </si>
  <si>
    <t xml:space="preserve"> EMP-0302 </t>
  </si>
  <si>
    <t>TRN-9757</t>
  </si>
  <si>
    <t>2022-09-06</t>
  </si>
  <si>
    <t>TRN-9758</t>
  </si>
  <si>
    <t>2022-07-07</t>
  </si>
  <si>
    <t>TRN-9759</t>
  </si>
  <si>
    <t>TRN-9760</t>
  </si>
  <si>
    <t>TRN-9761</t>
  </si>
  <si>
    <t xml:space="preserve"> CUST-1146 </t>
  </si>
  <si>
    <t>TRN-9762</t>
  </si>
  <si>
    <t>2024-09-01</t>
  </si>
  <si>
    <t>TRN-9763</t>
  </si>
  <si>
    <t>2025-02-26</t>
  </si>
  <si>
    <t>TRN-9764</t>
  </si>
  <si>
    <t>2024-01-08</t>
  </si>
  <si>
    <t>TRN-9765</t>
  </si>
  <si>
    <t>2023-05-24</t>
  </si>
  <si>
    <t>TRN-9766</t>
  </si>
  <si>
    <t>2024-05-22</t>
  </si>
  <si>
    <t xml:space="preserve"> TRN-9767 </t>
  </si>
  <si>
    <t>2024-01-21</t>
  </si>
  <si>
    <t>TRN-9768</t>
  </si>
  <si>
    <t>2023-06-26</t>
  </si>
  <si>
    <t>TRN-9769</t>
  </si>
  <si>
    <t>TRN-9770</t>
  </si>
  <si>
    <t>TRN-9771</t>
  </si>
  <si>
    <t>2022-10-14</t>
  </si>
  <si>
    <t xml:space="preserve"> TRN-9772 </t>
  </si>
  <si>
    <t>2022-06-13</t>
  </si>
  <si>
    <t>CUST-1188</t>
  </si>
  <si>
    <t>TRN-9773</t>
  </si>
  <si>
    <t>2024-10-27</t>
  </si>
  <si>
    <t>TRN-9774</t>
  </si>
  <si>
    <t>TRN-9775</t>
  </si>
  <si>
    <t xml:space="preserve"> 2022-03-06 </t>
  </si>
  <si>
    <t>TRN-9776</t>
  </si>
  <si>
    <t>TRN-9777</t>
  </si>
  <si>
    <t>2023-03-20</t>
  </si>
  <si>
    <t>TRN-9778</t>
  </si>
  <si>
    <t>TRN-9779</t>
  </si>
  <si>
    <t>TRN-9780</t>
  </si>
  <si>
    <t>2024-05-24</t>
  </si>
  <si>
    <t>TRN-9781</t>
  </si>
  <si>
    <t>2022-02-26</t>
  </si>
  <si>
    <t>TRN-9782</t>
  </si>
  <si>
    <t>2025-06-27</t>
  </si>
  <si>
    <t>TRN-9783</t>
  </si>
  <si>
    <t>2024-10-25</t>
  </si>
  <si>
    <t>TRN-9784</t>
  </si>
  <si>
    <t>TRN-9785</t>
  </si>
  <si>
    <t>2022-08-17</t>
  </si>
  <si>
    <t>TRN-9786</t>
  </si>
  <si>
    <t>2023-12-25</t>
  </si>
  <si>
    <t xml:space="preserve"> TRN-9787 </t>
  </si>
  <si>
    <t>2022-09-25</t>
  </si>
  <si>
    <t>TRN-9788</t>
  </si>
  <si>
    <t xml:space="preserve"> 2024-03-23 </t>
  </si>
  <si>
    <t>TRN-9789</t>
  </si>
  <si>
    <t>TRN-9790</t>
  </si>
  <si>
    <t>2023-09-07</t>
  </si>
  <si>
    <t>TRN-9791</t>
  </si>
  <si>
    <t xml:space="preserve"> 2025-05-10 </t>
  </si>
  <si>
    <t>TRN-9792</t>
  </si>
  <si>
    <t xml:space="preserve"> 2023-07-30 </t>
  </si>
  <si>
    <t>TRN-9793</t>
  </si>
  <si>
    <t>2022-10-06</t>
  </si>
  <si>
    <t>TRN-9794</t>
  </si>
  <si>
    <t>TRN-9795</t>
  </si>
  <si>
    <t>2022-01-18</t>
  </si>
  <si>
    <t>TRN-9796</t>
  </si>
  <si>
    <t>2024-11-18</t>
  </si>
  <si>
    <t>TRN-9797</t>
  </si>
  <si>
    <t>TRN-9798</t>
  </si>
  <si>
    <t>2024-03-14</t>
  </si>
  <si>
    <t>TRN-9800</t>
  </si>
  <si>
    <t>2023-08-08</t>
  </si>
  <si>
    <t>TRN-9801</t>
  </si>
  <si>
    <t>2025-07-20</t>
  </si>
  <si>
    <t>TRN-9802</t>
  </si>
  <si>
    <t>2024-06-15</t>
  </si>
  <si>
    <t>TRN-9803</t>
  </si>
  <si>
    <t>2023-05-10</t>
  </si>
  <si>
    <t>TRN-9804</t>
  </si>
  <si>
    <t>TRN-9805</t>
  </si>
  <si>
    <t>2025-05-02</t>
  </si>
  <si>
    <t>TRN-9806</t>
  </si>
  <si>
    <t>2025-01-25</t>
  </si>
  <si>
    <t>TRN-9807</t>
  </si>
  <si>
    <t>TRN-9808</t>
  </si>
  <si>
    <t>2022-10-10</t>
  </si>
  <si>
    <t>TRN-9809</t>
  </si>
  <si>
    <t>2025-05-29</t>
  </si>
  <si>
    <t>TRN-9810</t>
  </si>
  <si>
    <t>2024-07-14</t>
  </si>
  <si>
    <t>TRN-9811</t>
  </si>
  <si>
    <t>2023-06-06</t>
  </si>
  <si>
    <t>TRN-9812</t>
  </si>
  <si>
    <t>TRN-9813</t>
  </si>
  <si>
    <t xml:space="preserve"> CUST-1077 </t>
  </si>
  <si>
    <t>TRN-9814</t>
  </si>
  <si>
    <t>2022-06-24</t>
  </si>
  <si>
    <t>TRN-9815</t>
  </si>
  <si>
    <t>2025-04-22</t>
  </si>
  <si>
    <t>TRN-9816</t>
  </si>
  <si>
    <t>2024-09-14</t>
  </si>
  <si>
    <t>TRN-9817</t>
  </si>
  <si>
    <t>2023-06-17</t>
  </si>
  <si>
    <t xml:space="preserve"> TRN-9818 </t>
  </si>
  <si>
    <t>TRN-9819</t>
  </si>
  <si>
    <t>2025-11-13</t>
  </si>
  <si>
    <t>TRN-9820</t>
  </si>
  <si>
    <t>2025-09-30</t>
  </si>
  <si>
    <t>TRN-9821</t>
  </si>
  <si>
    <t>TRN-9822</t>
  </si>
  <si>
    <t>2024-10-23</t>
  </si>
  <si>
    <t>TRN-9823</t>
  </si>
  <si>
    <t>2024-11-12</t>
  </si>
  <si>
    <t>TRN-9824</t>
  </si>
  <si>
    <t>TRN-9825</t>
  </si>
  <si>
    <t>2023-10-04</t>
  </si>
  <si>
    <t>TRN-9826</t>
  </si>
  <si>
    <t>2023-09-12</t>
  </si>
  <si>
    <t>TRN-9827</t>
  </si>
  <si>
    <t>2022-11-13</t>
  </si>
  <si>
    <t>TRN-9828</t>
  </si>
  <si>
    <t>2024-07-19</t>
  </si>
  <si>
    <t>TRN-9829</t>
  </si>
  <si>
    <t xml:space="preserve"> CUST-1131 </t>
  </si>
  <si>
    <t>TRN-9830</t>
  </si>
  <si>
    <t>2023-07-05</t>
  </si>
  <si>
    <t>TRN-9831</t>
  </si>
  <si>
    <t>2023-11-10</t>
  </si>
  <si>
    <t>TRN-9832</t>
  </si>
  <si>
    <t>TRN-9833</t>
  </si>
  <si>
    <t xml:space="preserve"> TRN-9834 </t>
  </si>
  <si>
    <t>2022-03-20</t>
  </si>
  <si>
    <t>TRN-9835</t>
  </si>
  <si>
    <t xml:space="preserve"> 2023-06-04 </t>
  </si>
  <si>
    <t>TRN-9836</t>
  </si>
  <si>
    <t>TRN-9837</t>
  </si>
  <si>
    <t>2023-07-08</t>
  </si>
  <si>
    <t>TRN-9838</t>
  </si>
  <si>
    <t xml:space="preserve"> 2023-04-06 </t>
  </si>
  <si>
    <t>TRN-9839</t>
  </si>
  <si>
    <t>2024-05-31</t>
  </si>
  <si>
    <t>TRN-9840</t>
  </si>
  <si>
    <t>TRN-9841</t>
  </si>
  <si>
    <t>2023-02-02</t>
  </si>
  <si>
    <t>TRN-9842</t>
  </si>
  <si>
    <t>2025-12-02</t>
  </si>
  <si>
    <t>TRN-9843</t>
  </si>
  <si>
    <t xml:space="preserve"> 2025-10-24 </t>
  </si>
  <si>
    <t>TRN-9844</t>
  </si>
  <si>
    <t>2025-02-05</t>
  </si>
  <si>
    <t>TRN-9845</t>
  </si>
  <si>
    <t>2025-05-27</t>
  </si>
  <si>
    <t>TRN-9846</t>
  </si>
  <si>
    <t>TRN-9847</t>
  </si>
  <si>
    <t>2025-10-21</t>
  </si>
  <si>
    <t>TRN-9848</t>
  </si>
  <si>
    <t>2023-02-16</t>
  </si>
  <si>
    <t>TRN-9849</t>
  </si>
  <si>
    <t>2025-01-19</t>
  </si>
  <si>
    <t>TRN-9850</t>
  </si>
  <si>
    <t>2022-02-03</t>
  </si>
  <si>
    <t xml:space="preserve"> PROMO-01 </t>
  </si>
  <si>
    <t>TRN-9851</t>
  </si>
  <si>
    <t>2022-11-08</t>
  </si>
  <si>
    <t xml:space="preserve"> CUST-1137 </t>
  </si>
  <si>
    <t>TRN-9852</t>
  </si>
  <si>
    <t>2025-09-02</t>
  </si>
  <si>
    <t>TRN-9853</t>
  </si>
  <si>
    <t>2022-09-08</t>
  </si>
  <si>
    <t>TRN-9855</t>
  </si>
  <si>
    <t>TRN-9856</t>
  </si>
  <si>
    <t>TRN-9858</t>
  </si>
  <si>
    <t>2023-03-18</t>
  </si>
  <si>
    <t>TRN-9859</t>
  </si>
  <si>
    <t>2022-04-03</t>
  </si>
  <si>
    <t>TRN-9860</t>
  </si>
  <si>
    <t>TRN-9861</t>
  </si>
  <si>
    <t>2024-03-09</t>
  </si>
  <si>
    <t>TRN-9862</t>
  </si>
  <si>
    <t>2025-05-04</t>
  </si>
  <si>
    <t>TRN-9863</t>
  </si>
  <si>
    <t>TRN-9864</t>
  </si>
  <si>
    <t>TRN-9865</t>
  </si>
  <si>
    <t>TRN-9867</t>
  </si>
  <si>
    <t>2023-01-12</t>
  </si>
  <si>
    <t>TRN-9868</t>
  </si>
  <si>
    <t>TRN-9869</t>
  </si>
  <si>
    <t>2025-08-20</t>
  </si>
  <si>
    <t>TRN-9870</t>
  </si>
  <si>
    <t xml:space="preserve"> 2023-06-18 </t>
  </si>
  <si>
    <t>TRN-9871</t>
  </si>
  <si>
    <t>2025-10-06</t>
  </si>
  <si>
    <t>TRN-9872</t>
  </si>
  <si>
    <t>2024-01-20</t>
  </si>
  <si>
    <t>TRN-9873</t>
  </si>
  <si>
    <t>2024-10-16</t>
  </si>
  <si>
    <t>TRN-9874</t>
  </si>
  <si>
    <t xml:space="preserve"> 2023-10-27 </t>
  </si>
  <si>
    <t>TRN-9875</t>
  </si>
  <si>
    <t>2023-06-14</t>
  </si>
  <si>
    <t xml:space="preserve"> CUST-1082 </t>
  </si>
  <si>
    <t>TRN-9876</t>
  </si>
  <si>
    <t>TRN-9877</t>
  </si>
  <si>
    <t>TRN-9878</t>
  </si>
  <si>
    <t>TRN-9879</t>
  </si>
  <si>
    <t>TRN-9880</t>
  </si>
  <si>
    <t>2023-07-11</t>
  </si>
  <si>
    <t>TRN-9881</t>
  </si>
  <si>
    <t>2022-12-25</t>
  </si>
  <si>
    <t xml:space="preserve"> TRN-9882 </t>
  </si>
  <si>
    <t>TRN-9883</t>
  </si>
  <si>
    <t>2024-05-28</t>
  </si>
  <si>
    <t>TRN-9884</t>
  </si>
  <si>
    <t xml:space="preserve"> TRN-9885 </t>
  </si>
  <si>
    <t>2023-05-14</t>
  </si>
  <si>
    <t>TRN-9886</t>
  </si>
  <si>
    <t>2022-02-07</t>
  </si>
  <si>
    <t>TRN-9887</t>
  </si>
  <si>
    <t>2022-03-31</t>
  </si>
  <si>
    <t>TRN-9888</t>
  </si>
  <si>
    <t>TRN-9889</t>
  </si>
  <si>
    <t>2023-03-05</t>
  </si>
  <si>
    <t>TRN-9890</t>
  </si>
  <si>
    <t>2024-09-10</t>
  </si>
  <si>
    <t>TRN-9891</t>
  </si>
  <si>
    <t>TRN-9892</t>
  </si>
  <si>
    <t>2025-08-13</t>
  </si>
  <si>
    <t>TRN-9894</t>
  </si>
  <si>
    <t>2024-04-17</t>
  </si>
  <si>
    <t>CUST-1167</t>
  </si>
  <si>
    <t>TRN-9895</t>
  </si>
  <si>
    <t>2025-09-19</t>
  </si>
  <si>
    <t>TRN-9896</t>
  </si>
  <si>
    <t>TRN-9897</t>
  </si>
  <si>
    <t>TRN-9898</t>
  </si>
  <si>
    <t>2024-12-26</t>
  </si>
  <si>
    <t>TRN-9899</t>
  </si>
  <si>
    <t xml:space="preserve"> TRN-9900 </t>
  </si>
  <si>
    <t>2024-11-14</t>
  </si>
  <si>
    <t>TRN-9901</t>
  </si>
  <si>
    <t>2024-03-24</t>
  </si>
  <si>
    <t>TRN-9902</t>
  </si>
  <si>
    <t>2023-03-24</t>
  </si>
  <si>
    <t>TRN-9903</t>
  </si>
  <si>
    <t>TRN-9904</t>
  </si>
  <si>
    <t>2022-12-07</t>
  </si>
  <si>
    <t>TRN-9905</t>
  </si>
  <si>
    <t>TRN-9906</t>
  </si>
  <si>
    <t>TRN-9907</t>
  </si>
  <si>
    <t xml:space="preserve"> CUST-1155 </t>
  </si>
  <si>
    <t>TRN-9909</t>
  </si>
  <si>
    <t>TRN-9910</t>
  </si>
  <si>
    <t>TRN-9911</t>
  </si>
  <si>
    <t>2022-12-22</t>
  </si>
  <si>
    <t>TRN-9912</t>
  </si>
  <si>
    <t>2024-04-30</t>
  </si>
  <si>
    <t>TRN-9913</t>
  </si>
  <si>
    <t>TRN-9914</t>
  </si>
  <si>
    <t>2023-12-14</t>
  </si>
  <si>
    <t>TRN-9915</t>
  </si>
  <si>
    <t>2022-04-17</t>
  </si>
  <si>
    <t>TRN-9916</t>
  </si>
  <si>
    <t>2024-05-18</t>
  </si>
  <si>
    <t>TRN-9917</t>
  </si>
  <si>
    <t>TRN-9918</t>
  </si>
  <si>
    <t>2022-09-30</t>
  </si>
  <si>
    <t>TRN-9919</t>
  </si>
  <si>
    <t>2025-09-11</t>
  </si>
  <si>
    <t>TRN-9920</t>
  </si>
  <si>
    <t>2024-09-18</t>
  </si>
  <si>
    <t>TRN-9921</t>
  </si>
  <si>
    <t>TRN-9922</t>
  </si>
  <si>
    <t>2022-07-20</t>
  </si>
  <si>
    <t>TRN-9923</t>
  </si>
  <si>
    <t>TRN-9924</t>
  </si>
  <si>
    <t>2022-01-30</t>
  </si>
  <si>
    <t>TRN-9925</t>
  </si>
  <si>
    <t>TRN-9926</t>
  </si>
  <si>
    <t>2023-03-07</t>
  </si>
  <si>
    <t>TRN-9928</t>
  </si>
  <si>
    <t>TRN-9929</t>
  </si>
  <si>
    <t xml:space="preserve"> 2022-08-27 </t>
  </si>
  <si>
    <t>TRN-9930</t>
  </si>
  <si>
    <t>2022-11-06</t>
  </si>
  <si>
    <t>TRN-9931</t>
  </si>
  <si>
    <t>2023-01-18</t>
  </si>
  <si>
    <t>TRN-9932</t>
  </si>
  <si>
    <t>2024-03-31</t>
  </si>
  <si>
    <t>TRN-9933</t>
  </si>
  <si>
    <t>2023-03-16</t>
  </si>
  <si>
    <t>TRN-9935</t>
  </si>
  <si>
    <t>TRN-9936</t>
  </si>
  <si>
    <t>2022-08-31</t>
  </si>
  <si>
    <t>TRN-9937</t>
  </si>
  <si>
    <t>2023-03-13</t>
  </si>
  <si>
    <t>TRN-9938</t>
  </si>
  <si>
    <t>2022-07-06</t>
  </si>
  <si>
    <t xml:space="preserve"> TRN-9939 </t>
  </si>
  <si>
    <t>TRN-9940</t>
  </si>
  <si>
    <t>2024-09-26</t>
  </si>
  <si>
    <t>TRN-9941</t>
  </si>
  <si>
    <t>TRN-9942</t>
  </si>
  <si>
    <t>TRN-9943</t>
  </si>
  <si>
    <t>2025-12-12</t>
  </si>
  <si>
    <t xml:space="preserve"> CUST-1181 </t>
  </si>
  <si>
    <t>TRN-9944</t>
  </si>
  <si>
    <t>TRN-9946</t>
  </si>
  <si>
    <t>2023-03-21</t>
  </si>
  <si>
    <t>TRN-9947</t>
  </si>
  <si>
    <t>TRN-9948</t>
  </si>
  <si>
    <t>2023-04-10</t>
  </si>
  <si>
    <t>TRN-9949</t>
  </si>
  <si>
    <t>2024-10-11</t>
  </si>
  <si>
    <t>TRN-9950</t>
  </si>
  <si>
    <t>2025-02-02</t>
  </si>
  <si>
    <t>TRN-9951</t>
  </si>
  <si>
    <t>TRN-9952</t>
  </si>
  <si>
    <t>2024-03-25</t>
  </si>
  <si>
    <t>TRN-9953</t>
  </si>
  <si>
    <t>TRN-9954</t>
  </si>
  <si>
    <t>2022-03-30</t>
  </si>
  <si>
    <t>TRN-9955</t>
  </si>
  <si>
    <t>TRN-9956</t>
  </si>
  <si>
    <t>2025-02-16</t>
  </si>
  <si>
    <t>TRN-9958</t>
  </si>
  <si>
    <t xml:space="preserve"> CUST-1186 </t>
  </si>
  <si>
    <t>TRN-9960</t>
  </si>
  <si>
    <t>2023-10-12</t>
  </si>
  <si>
    <t>TRN-9961</t>
  </si>
  <si>
    <t>2025-07-02</t>
  </si>
  <si>
    <t>TRN-9962</t>
  </si>
  <si>
    <t>TRN-9963</t>
  </si>
  <si>
    <t>TRN-9964</t>
  </si>
  <si>
    <t>2023-03-17</t>
  </si>
  <si>
    <t>TRN-9965</t>
  </si>
  <si>
    <t>TRN-9966</t>
  </si>
  <si>
    <t>TRN-9967</t>
  </si>
  <si>
    <t>2023-01-05</t>
  </si>
  <si>
    <t xml:space="preserve"> TRN-9968 </t>
  </si>
  <si>
    <t>TRN-9969</t>
  </si>
  <si>
    <t>2022-05-16</t>
  </si>
  <si>
    <t>TRN-9970</t>
  </si>
  <si>
    <t>2022-11-02</t>
  </si>
  <si>
    <t>TRN-9971</t>
  </si>
  <si>
    <t>TRN-9972</t>
  </si>
  <si>
    <t>TRN-9973</t>
  </si>
  <si>
    <t>TRN-9974</t>
  </si>
  <si>
    <t>2023-10-23</t>
  </si>
  <si>
    <t>TRN-9975</t>
  </si>
  <si>
    <t xml:space="preserve"> 2023-02-14 </t>
  </si>
  <si>
    <t>TRN-9976</t>
  </si>
  <si>
    <t>TRN-9977</t>
  </si>
  <si>
    <t>TRN-9978</t>
  </si>
  <si>
    <t>TRN-9979</t>
  </si>
  <si>
    <t>2023-09-24</t>
  </si>
  <si>
    <t>TRN-9980</t>
  </si>
  <si>
    <t>2025-02-25</t>
  </si>
  <si>
    <t>TRN-9981</t>
  </si>
  <si>
    <t>2022-04-04</t>
  </si>
  <si>
    <t>TRN-9982</t>
  </si>
  <si>
    <t>2025-10-02</t>
  </si>
  <si>
    <t>TRN-9983</t>
  </si>
  <si>
    <t>2022-01-01</t>
  </si>
  <si>
    <t>TRN-9985</t>
  </si>
  <si>
    <t>2024-01-14</t>
  </si>
  <si>
    <t>TRN-9986</t>
  </si>
  <si>
    <t>TRN-9987</t>
  </si>
  <si>
    <t>2024-08-24</t>
  </si>
  <si>
    <t xml:space="preserve"> TRN-9988 </t>
  </si>
  <si>
    <t>TRN-9989</t>
  </si>
  <si>
    <t>TRN-9990</t>
  </si>
  <si>
    <t>2025-08-19</t>
  </si>
  <si>
    <t>TRN-9991</t>
  </si>
  <si>
    <t>TRN-9992</t>
  </si>
  <si>
    <t>TRN-9993</t>
  </si>
  <si>
    <t>2024-05-14</t>
  </si>
  <si>
    <t>TRN-9995</t>
  </si>
  <si>
    <t>TRN-9996</t>
  </si>
  <si>
    <t xml:space="preserve"> CUST-1097 </t>
  </si>
  <si>
    <t>TRN-9997</t>
  </si>
  <si>
    <t>TRN-9998</t>
  </si>
  <si>
    <t>TRN-9999</t>
  </si>
  <si>
    <t xml:space="preserve"> 2025-04-15 </t>
  </si>
  <si>
    <t>TRN-10000</t>
  </si>
  <si>
    <t>2023-11-09</t>
  </si>
  <si>
    <t>Unknown</t>
  </si>
  <si>
    <t>No Promotion</t>
  </si>
  <si>
    <t>date</t>
  </si>
  <si>
    <t>2025-11-05</t>
  </si>
  <si>
    <t>2025-10-07</t>
  </si>
  <si>
    <t>2025-12-26</t>
  </si>
  <si>
    <t>2023-12-31</t>
  </si>
  <si>
    <t>2023-07-17</t>
  </si>
  <si>
    <t>2025-11-03</t>
  </si>
  <si>
    <t>2023-07-01</t>
  </si>
  <si>
    <t>2022-12-08</t>
  </si>
  <si>
    <t>2023-09-11</t>
  </si>
  <si>
    <t>2022-09-01</t>
  </si>
  <si>
    <t>2022-02-27</t>
  </si>
  <si>
    <t>2022-08-06</t>
  </si>
  <si>
    <t>2025-11-17</t>
  </si>
  <si>
    <t>2022-08-13</t>
  </si>
  <si>
    <t>2023-11-02</t>
  </si>
  <si>
    <t>2022-03-22</t>
  </si>
  <si>
    <t>2025-01-30</t>
  </si>
  <si>
    <t>2022-05-31</t>
  </si>
  <si>
    <t>2024-11-19</t>
  </si>
  <si>
    <t>2023-07-30</t>
  </si>
  <si>
    <t>2023-04-06</t>
  </si>
  <si>
    <t>2025-10-24</t>
  </si>
  <si>
    <t>2023-06-18</t>
  </si>
  <si>
    <t>2023-10-27</t>
  </si>
  <si>
    <t>2023-02-14</t>
  </si>
  <si>
    <t>month</t>
  </si>
  <si>
    <t>season</t>
  </si>
  <si>
    <t>promo_flag</t>
  </si>
  <si>
    <t>Employee_Known_Flag</t>
  </si>
  <si>
    <t>Cust_Visit_Count</t>
  </si>
  <si>
    <t>Sum of TotalAmount</t>
  </si>
  <si>
    <t>Row Labels</t>
  </si>
  <si>
    <t>Regular</t>
  </si>
  <si>
    <t>Grand Total</t>
  </si>
  <si>
    <t xml:space="preserve"> STO-01</t>
  </si>
  <si>
    <t xml:space="preserve"> STO-02</t>
  </si>
  <si>
    <t xml:space="preserve"> STO-03</t>
  </si>
  <si>
    <t xml:space="preserve"> STO-04</t>
  </si>
  <si>
    <t>Known Employee</t>
  </si>
  <si>
    <t>UnKnown Employee</t>
  </si>
  <si>
    <t>Not Promoted</t>
  </si>
  <si>
    <t>Promoted</t>
  </si>
  <si>
    <t>Count of TransactionID</t>
  </si>
  <si>
    <t>Average of TotalAmount2</t>
  </si>
  <si>
    <t xml:space="preserve"> </t>
  </si>
  <si>
    <t>Month name</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</si>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</sst>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style="thin">
        <color theme="1"/>
      </top>
      <bottom/>
      <diagonal/>
    </border>
  </borders>
  <cellStyleXfs count="1">
    <xf numFmtId="0" fontId="0" fillId="0" borderId="0"/>
  </cellStyleXfs>
  <cellXfs count="16">
    <xf numFmtId="0" fontId="0" fillId="0" borderId="0" xfId="0"/>
    <xf numFmtId="14" fontId="0" fillId="0" borderId="0" xfId="0" applyNumberFormat="1"/>
    <xf numFmtId="49"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49" fontId="0" fillId="0" borderId="1" xfId="0" applyNumberFormat="1" applyBorder="1"/>
    <xf numFmtId="0" fontId="0" fillId="0" borderId="1" xfId="0" applyBorder="1"/>
    <xf numFmtId="2" fontId="0" fillId="0" borderId="1" xfId="0" applyNumberFormat="1" applyBorder="1"/>
    <xf numFmtId="14" fontId="0" fillId="0" borderId="1" xfId="0" applyNumberFormat="1" applyBorder="1"/>
    <xf numFmtId="0" fontId="0" fillId="2" borderId="0" xfId="0" applyFill="1"/>
    <xf numFmtId="49" fontId="1" fillId="0" borderId="0" xfId="0" applyNumberFormat="1" applyFont="1"/>
    <xf numFmtId="0" fontId="1" fillId="0" borderId="0" xfId="0" applyFont="1"/>
    <xf numFmtId="2" fontId="1" fillId="0" borderId="0" xfId="0" applyNumberFormat="1" applyFont="1"/>
    <xf numFmtId="14" fontId="1" fillId="0" borderId="0" xfId="0" applyNumberFormat="1" applyFont="1"/>
  </cellXfs>
  <cellStyles count="1">
    <cellStyle name="Normal" xfId="0" builtinId="0"/>
  </cellStyles>
  <dxfs count="19">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9" formatCode="m/d/yyyy"/>
    </dxf>
    <dxf>
      <font>
        <b val="0"/>
        <i val="0"/>
        <strike val="0"/>
        <condense val="0"/>
        <extend val="0"/>
        <outline val="0"/>
        <shadow val="0"/>
        <u val="none"/>
        <vertAlign val="baseline"/>
        <sz val="12"/>
        <color theme="1"/>
        <name val="Calibri"/>
        <family val="2"/>
        <scheme val="minor"/>
      </font>
      <numFmt numFmtId="2" formatCode="0.00"/>
    </dxf>
    <dxf>
      <font>
        <b val="0"/>
        <i val="0"/>
        <strike val="0"/>
        <condense val="0"/>
        <extend val="0"/>
        <outline val="0"/>
        <shadow val="0"/>
        <u val="none"/>
        <vertAlign val="baseline"/>
        <sz val="12"/>
        <color theme="1"/>
        <name val="Calibri"/>
        <family val="2"/>
        <scheme val="minor"/>
      </font>
      <numFmt numFmtId="30" formatCode="@"/>
    </dxf>
    <dxf>
      <font>
        <b val="0"/>
        <i val="0"/>
        <strike val="0"/>
        <condense val="0"/>
        <extend val="0"/>
        <outline val="0"/>
        <shadow val="0"/>
        <u val="none"/>
        <vertAlign val="baseline"/>
        <sz val="12"/>
        <color theme="1"/>
        <name val="Calibri"/>
        <family val="2"/>
        <scheme val="minor"/>
      </font>
      <numFmt numFmtId="30" formatCode="@"/>
    </dxf>
    <dxf>
      <font>
        <b val="0"/>
        <i val="0"/>
        <strike val="0"/>
        <condense val="0"/>
        <extend val="0"/>
        <outline val="0"/>
        <shadow val="0"/>
        <u val="none"/>
        <vertAlign val="baseline"/>
        <sz val="12"/>
        <color theme="1"/>
        <name val="Calibri"/>
        <family val="2"/>
        <scheme val="minor"/>
      </font>
      <numFmt numFmtId="30" formatCode="@"/>
    </dxf>
    <dxf>
      <font>
        <b val="0"/>
        <i val="0"/>
        <strike val="0"/>
        <condense val="0"/>
        <extend val="0"/>
        <outline val="0"/>
        <shadow val="0"/>
        <u val="none"/>
        <vertAlign val="baseline"/>
        <sz val="12"/>
        <color theme="1"/>
        <name val="Calibri"/>
        <family val="2"/>
        <scheme val="minor"/>
      </font>
      <numFmt numFmtId="30" formatCode="@"/>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30" formatCode="@"/>
    </dxf>
    <dxf>
      <border outline="0">
        <top style="thin">
          <color theme="1"/>
        </top>
        <bottom style="thin">
          <color theme="1"/>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numFmt numFmtId="30" formatCode="@"/>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3.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[PNRao_SalesRetail_Sales_Transactions.xlsx]Store contribution!PivotTable6</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Store Contribution</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 contribution'!$B$3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'Store contribution'!$A$4:$A$13</c:f>
              <c:strCache>
                <c:ptCount val="9"/>
                <c:pt idx="0">
                  <c:v>STO-04</c:v>
                </c:pt>
                <c:pt idx="1">
                  <c:v>STO-03</c:v>
                </c:pt>
                <c:pt idx="2">
                  <c:v>STO-02</c:v>
                </c:pt>
                <c:pt idx="3">
                  <c:v>STO-01</c:v>
                </c:pt>
                <c:pt idx="4">
                  <c:v> STO-02</c:v>
                </c:pt>
                <c:pt idx="5">
                  <c:v>Unknown</c:v>
                </c:pt>
                <c:pt idx="6">
                  <c:v> STO-04</c:v>
                </c:pt>
                <c:pt idx="7">
                  <c:v> STO-01</c:v>
                </c:pt>
                <c:pt idx="8">
                  <c:v> STO-03</c:v>
                </c:pt>
              </c:strCache>
            </c:strRef>
          </c:cat>
          <c:val>
            <c:numRef>
              <c:f>'Store contribution'!$B$4:$B$13</c:f>
              <c:numCache>
                <c:formatCode>General</c:formatCode>
                <c:ptCount val="9"/>
                <c:pt idx="0">
                  <c:v>69264.899999999994</c:v>
                </c:pt>
                <c:pt idx="1">
                  <c:v>64747.6</c:v>
                </c:pt>
                <c:pt idx="2">
                  <c:v>58930.7</c:v>
                </c:pt>
                <c:pt idx="3">
                  <c:v>56597.35</c:v>
                </c:pt>
                <c:pt idx="4">
                  <c:v>5039.7</c:v>
                </c:pt>
                <c:pt idx="5">
                  <c:v>4483.2</c:v>
                </c:pt>
                <c:pt idx="6">
                  <c:v>3801.15</c:v>
                </c:pt>
                <c:pt idx="7">
                  <c:v>3252.35</c:v>
                </c:pt>
                <c:pt idx="8">
                  <c:v>2671.45</c:v>
                </c:pt>
              </c:numCache>
            </c:numRef>
          </c:val>
          <c:extLst>
            <c:ext xmlns:c16="http://schemas.microsoft.com/office/drawing/2014/chart" uri="{C3380CC4-5D6E-409C-BE32-E72D297353CC}">
              <c16:uniqueId val="{00000000-A726-46FB-BD4E-9BCCAAE4746B}"/>
            </c:ext>
          </c:extLst>
        </c:ser>
        <c:dLbls>
          <c:showLegendKey val="0"/>
          <c:showVal val="0"/>
          <c:showCatName val="0"/>
          <c:showSerName val="0"/>
          <c:showPercent val="0"/>
          <c:showBubbleSize val="0"/>
        </c:dLbls>
        <c:gapWidth val="84"/>
        <c:gapDepth val="53"/>
        <c:shape val="box"/>
        <c:axId val="1820668239"/>
        <c:axId val="1820675919"/>
        <c:axId val="0"/>
      </c:bar3DChart>
      <c:catAx>
        <c:axId val="18206682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675919"/>
        <c:crosses val="autoZero"/>
        <c:auto val="1"/>
        <c:lblAlgn val="ctr"/>
        <c:lblOffset val="100"/>
        <c:noMultiLvlLbl val="0"/>
      </c:catAx>
      <c:valAx>
        <c:axId val="1820675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66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[PNRao_SalesRetail_Sales_Transactions.xlsx]Employee type!PivotTable7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type'!$B$3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 type'!$A$4:$A$6</c:f>
              <c:strCache>
                <c:ptCount val="2"/>
                <c:pt idx="0">
                  <c:v>Known Employee</c:v>
                </c:pt>
                <c:pt idx="1">
                  <c:v>UnKnown Employee</c:v>
                </c:pt>
              </c:strCache>
            </c:strRef>
          </c:cat>
          <c:val>
            <c:numRef>
              <c:f>'Employee type'!$B$4:$B$6</c:f>
              <c:numCache>
                <c:formatCode>0.00%</c:formatCode>
                <c:ptCount val="2"/>
                <c:pt idx="0">
                  <c:v>0.96712655754489396</c:v>
                </c:pt>
                <c:pt idx="1">
                  <c:v>3.2873442455105949E-2</c:v>
                </c:pt>
              </c:numCache>
            </c:numRef>
          </c:val>
          <c:extLst>
            <c:ext xmlns:c16="http://schemas.microsoft.com/office/drawing/2014/chart" uri="{C3380CC4-5D6E-409C-BE32-E72D297353CC}">
              <c16:uniqueId val="{00000000-8F5C-4FDA-9BCD-D5CEC1CB00CF}"/>
            </c:ext>
          </c:extLst>
        </c:ser>
        <c:dLbls>
          <c:dLblPos val="outEnd"/>
          <c:showLegendKey val="0"/>
          <c:showVal val="1"/>
          <c:showCatName val="0"/>
          <c:showSerName val="0"/>
          <c:showPercent val="0"/>
          <c:showBubbleSize val="0"/>
        </c:dLbls>
        <c:gapWidth val="100"/>
        <c:overlap val="-24"/>
        <c:axId val="678356991"/>
        <c:axId val="678346911"/>
      </c:barChart>
      <c:catAx>
        <c:axId val="678356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346911"/>
        <c:crosses val="autoZero"/>
        <c:auto val="1"/>
        <c:lblAlgn val="ctr"/>
        <c:lblOffset val="100"/>
        <c:noMultiLvlLbl val="0"/>
      </c:catAx>
      <c:valAx>
        <c:axId val="67834691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35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[PNRao_SalesRetail_Sales_Transactions.xlsx]promo vs noprom!PivotTable8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a:t>
            </a:r>
            <a:r>
              <a:rPr lang="en-US" baseline="0"/>
              <a:t> vs Nonpromo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 vs noprom'!$B$3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'promo vs noprom'!$A$4:$A$6</c:f>
              <c:strCache>
                <c:ptCount val="2"/>
                <c:pt idx="0">
                  <c:v>Not Promoted</c:v>
                </c:pt>
                <c:pt idx="1">
                  <c:v>Promoted</c:v>
                </c:pt>
              </c:strCache>
            </c:strRef>
          </c:cat>
          <c:val>
            <c:numRef>
              <c:f>'promo vs noprom'!$B$4:$B$6</c:f>
              <c:numCache>
                <c:formatCode>General</c:formatCode>
                <c:ptCount val="2"/>
                <c:pt idx="0">
                  <c:v>9168.1</c:v>
                </c:pt>
                <c:pt idx="1">
                  <c:v>259620.3</c:v>
                </c:pt>
              </c:numCache>
            </c:numRef>
          </c:val>
          <c:extLst>
            <c:ext xmlns:c16="http://schemas.microsoft.com/office/drawing/2014/chart" uri="{C3380CC4-5D6E-409C-BE32-E72D297353CC}">
              <c16:uniqueId val="{00000000-BC7C-49C5-B6AB-2DEBE2058F3C}"/>
            </c:ext>
          </c:extLst>
        </c:ser>
        <c:dLbls>
          <c:dLblPos val="outEnd"/>
          <c:showLegendKey val="0"/>
          <c:showVal val="1"/>
          <c:showCatName val="0"/>
          <c:showSerName val="0"/>
          <c:showPercent val="0"/>
          <c:showBubbleSize val="0"/>
        </c:dLbls>
        <c:gapWidth val="100"/>
        <c:overlap val="-24"/>
        <c:axId val="678346431"/>
        <c:axId val="678337791"/>
      </c:barChart>
      <c:catAx>
        <c:axId val="678346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337791"/>
        <c:crosses val="autoZero"/>
        <c:auto val="1"/>
        <c:lblAlgn val="ctr"/>
        <c:lblOffset val="100"/>
        <c:noMultiLvlLbl val="0"/>
      </c:catAx>
      <c:valAx>
        <c:axId val="678337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34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[PNRao_SalesRetail_Sales_Transactions.xlsx]promotion impact!PivotTable12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Promotion &amp; non-promo impact on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'promotion impact'!$B$3</c:f>
              <c:strCache>
                <c:ptCount val="1"/>
                <c:pt idx="0">
                  <c:v>Sum of TotalAmount</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3B0-4B3A-8D3A-9CFF765AFB3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3B0-4B3A-8D3A-9CFF765AF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'promotion impact'!$A$4:$A$6</c:f>
              <c:strCache>
                <c:ptCount val="2"/>
                <c:pt idx="0">
                  <c:v>Promoted</c:v>
                </c:pt>
                <c:pt idx="1">
                  <c:v>Not Promoted</c:v>
                </c:pt>
              </c:strCache>
            </c:strRef>
          </c:cat>
          <c:val>
            <c:numRef>
              <c:f>'promotion impact'!$B$4:$B$6</c:f>
              <c:numCache>
                <c:formatCode>General</c:formatCode>
                <c:ptCount val="2"/>
                <c:pt idx="0">
                  <c:v>259620.3</c:v>
                </c:pt>
                <c:pt idx="1">
                  <c:v>9168.1</c:v>
                </c:pt>
              </c:numCache>
            </c:numRef>
          </c:val>
          <c:extLst>
            <c:ext xmlns:c16="http://schemas.microsoft.com/office/drawing/2014/chart" uri="{C3380CC4-5D6E-409C-BE32-E72D297353CC}">
              <c16:uniqueId val="{00000000-A204-4F56-A9A7-282B19A27666}"/>
            </c:ext>
          </c:extLst>
        </c:ser>
        <c:ser>
          <c:idx val="1"/>
          <c:order val="1"/>
          <c:tx>
            <c:strRef>
              <c:f>'promotion impact'!$C$3</c:f>
              <c:strCache>
                <c:ptCount val="1"/>
                <c:pt idx="0">
                  <c:v>Average of TotalAmount2</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3B0-4B3A-8D3A-9CFF765AFB3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3B0-4B3A-8D3A-9CFF765AF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'promotion impact'!$A$4:$A$6</c:f>
              <c:strCache>
                <c:ptCount val="2"/>
                <c:pt idx="0">
                  <c:v>Promoted</c:v>
                </c:pt>
                <c:pt idx="1">
                  <c:v>Not Promoted</c:v>
                </c:pt>
              </c:strCache>
            </c:strRef>
          </c:cat>
          <c:val>
            <c:numRef>
              <c:f>'promotion impact'!$C$4:$C$6</c:f>
              <c:numCache>
                <c:formatCode>General</c:formatCode>
                <c:ptCount val="2"/>
                <c:pt idx="0">
                  <c:v>336.295725388601</c:v>
                </c:pt>
                <c:pt idx="1">
                  <c:v>286.50312500000001</c:v>
                </c:pt>
              </c:numCache>
            </c:numRef>
          </c:val>
          <c:extLst>
            <c:ext xmlns:c16="http://schemas.microsoft.com/office/drawing/2014/chart" uri="{C3380CC4-5D6E-409C-BE32-E72D297353CC}">
              <c16:uniqueId val="{00000001-A204-4F56-A9A7-282B19A2766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[PNRao_SalesRetail_Sales_Transactions.xlsx]promotion impact!PivotTable12</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Promotion &amp; non-promo impact on revenue</a:t>
            </a:r>
          </a:p>
        </c:rich>
      </c:tx>
      <c:layout>
        <c:manualLayout>
          <c:xMode val="edge"/>
          <c:yMode val="edge"/>
          <c:x val="7.6015341476392911E-2"/>
          <c:y val="0.1441808029029928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'promotion impact'!$B$3</c:f>
              <c:strCache>
                <c:ptCount val="1"/>
                <c:pt idx="0">
                  <c:v>Sum of TotalAmount</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7E8-4845-9EB1-53E300BFE702}"/>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7E8-4845-9EB1-53E300BFE70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'promotion impact'!$A$4:$A$6</c:f>
              <c:strCache>
                <c:ptCount val="2"/>
                <c:pt idx="0">
                  <c:v>Promoted</c:v>
                </c:pt>
                <c:pt idx="1">
                  <c:v>Not Promoted</c:v>
                </c:pt>
              </c:strCache>
            </c:strRef>
          </c:cat>
          <c:val>
            <c:numRef>
              <c:f>'promotion impact'!$B$4:$B$6</c:f>
              <c:numCache>
                <c:formatCode>General</c:formatCode>
                <c:ptCount val="2"/>
                <c:pt idx="0">
                  <c:v>259620.3</c:v>
                </c:pt>
                <c:pt idx="1">
                  <c:v>9168.1</c:v>
                </c:pt>
              </c:numCache>
            </c:numRef>
          </c:val>
          <c:extLst>
            <c:ext xmlns:c16="http://schemas.microsoft.com/office/drawing/2014/chart" uri="{C3380CC4-5D6E-409C-BE32-E72D297353CC}">
              <c16:uniqueId val="{00000004-A7E8-4845-9EB1-53E300BFE702}"/>
            </c:ext>
          </c:extLst>
        </c:ser>
        <c:ser>
          <c:idx val="1"/>
          <c:order val="1"/>
          <c:tx>
            <c:strRef>
              <c:f>'promotion impact'!$C$3</c:f>
              <c:strCache>
                <c:ptCount val="1"/>
                <c:pt idx="0">
                  <c:v>Average of TotalAmount2</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A7E8-4845-9EB1-53E300BFE702}"/>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A7E8-4845-9EB1-53E300BFE70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'promotion impact'!$A$4:$A$6</c:f>
              <c:strCache>
                <c:ptCount val="2"/>
                <c:pt idx="0">
                  <c:v>Promoted</c:v>
                </c:pt>
                <c:pt idx="1">
                  <c:v>Not Promoted</c:v>
                </c:pt>
              </c:strCache>
            </c:strRef>
          </c:cat>
          <c:val>
            <c:numRef>
              <c:f>'promotion impact'!$C$4:$C$6</c:f>
              <c:numCache>
                <c:formatCode>General</c:formatCode>
                <c:ptCount val="2"/>
                <c:pt idx="0">
                  <c:v>336.295725388601</c:v>
                </c:pt>
                <c:pt idx="1">
                  <c:v>286.50312500000001</c:v>
                </c:pt>
              </c:numCache>
            </c:numRef>
          </c:val>
          <c:extLst>
            <c:ext xmlns:c16="http://schemas.microsoft.com/office/drawing/2014/chart" uri="{C3380CC4-5D6E-409C-BE32-E72D297353CC}">
              <c16:uniqueId val="{00000009-A7E8-4845-9EB1-53E300BFE70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a:softEdge rad="889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Monthly Sale</a:t>
            </a:r>
          </a:p>
        </c:rich>
      </c:tx>
      <c:layout>
        <c:manualLayout>
          <c:xMode val="edge"/>
          <c:yMode val="edge"/>
          <c:x val="0.39630555555555552"/>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28789.1</c:v>
              </c:pt>
              <c:pt idx="1">
                <c:v>25371.649999999994</c:v>
              </c:pt>
              <c:pt idx="2">
                <c:v>25031.35</c:v>
              </c:pt>
              <c:pt idx="3">
                <c:v>23637.899999999998</c:v>
              </c:pt>
              <c:pt idx="4">
                <c:v>23272.15</c:v>
              </c:pt>
              <c:pt idx="5">
                <c:v>22546.249999999996</c:v>
              </c:pt>
              <c:pt idx="6">
                <c:v>22273.800000000003</c:v>
              </c:pt>
              <c:pt idx="7">
                <c:v>22114.35</c:v>
              </c:pt>
              <c:pt idx="8">
                <c:v>21575.200000000001</c:v>
              </c:pt>
              <c:pt idx="9">
                <c:v>18982.400000000001</c:v>
              </c:pt>
              <c:pt idx="10">
                <c:v>18516.650000000001</c:v>
              </c:pt>
              <c:pt idx="11">
                <c:v>16677.600000000002</c:v>
              </c:pt>
            </c:numLit>
          </c:val>
          <c:smooth val="0"/>
          <c:extLst>
            <c:ext xmlns:c16="http://schemas.microsoft.com/office/drawing/2014/chart" uri="{C3380CC4-5D6E-409C-BE32-E72D297353CC}">
              <c16:uniqueId val="{00000000-E953-4FCC-BE27-4EDB86FFDBA2}"/>
            </c:ext>
          </c:extLst>
        </c:ser>
        <c:dLbls>
          <c:showLegendKey val="0"/>
          <c:showVal val="0"/>
          <c:showCatName val="0"/>
          <c:showSerName val="0"/>
          <c:showPercent val="0"/>
          <c:showBubbleSize val="0"/>
        </c:dLbls>
        <c:marker val="1"/>
        <c:smooth val="0"/>
        <c:axId val="465405103"/>
        <c:axId val="465417583"/>
      </c:lineChart>
      <c:catAx>
        <c:axId val="4654051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5417583"/>
        <c:crosses val="autoZero"/>
        <c:auto val="1"/>
        <c:lblAlgn val="ctr"/>
        <c:lblOffset val="100"/>
        <c:noMultiLvlLbl val="0"/>
      </c:catAx>
      <c:valAx>
        <c:axId val="465417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540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a:softEdge rad="88900"/>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[PNRao_SalesRetail_Sales_Transactions.xlsx]Employee type!PivotTable7</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Employee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type'!$B$3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 type'!$A$4:$A$6</c:f>
              <c:strCache>
                <c:ptCount val="2"/>
                <c:pt idx="0">
                  <c:v>Known Employee</c:v>
                </c:pt>
                <c:pt idx="1">
                  <c:v>UnKnown Employee</c:v>
                </c:pt>
              </c:strCache>
            </c:strRef>
          </c:cat>
          <c:val>
            <c:numRef>
              <c:f>'Employee type'!$B$4:$B$6</c:f>
              <c:numCache>
                <c:formatCode>0.00%</c:formatCode>
                <c:ptCount val="2"/>
                <c:pt idx="0">
                  <c:v>0.96712655754489396</c:v>
                </c:pt>
                <c:pt idx="1">
                  <c:v>3.2873442455105949E-2</c:v>
                </c:pt>
              </c:numCache>
            </c:numRef>
          </c:val>
          <c:extLst>
            <c:ext xmlns:c16="http://schemas.microsoft.com/office/drawing/2014/chart" uri="{C3380CC4-5D6E-409C-BE32-E72D297353CC}">
              <c16:uniqueId val="{00000000-C7CF-40AA-AFE1-B316886F85EF}"/>
            </c:ext>
          </c:extLst>
        </c:ser>
        <c:dLbls>
          <c:dLblPos val="outEnd"/>
          <c:showLegendKey val="0"/>
          <c:showVal val="1"/>
          <c:showCatName val="0"/>
          <c:showSerName val="0"/>
          <c:showPercent val="0"/>
          <c:showBubbleSize val="0"/>
        </c:dLbls>
        <c:gapWidth val="100"/>
        <c:overlap val="-24"/>
        <c:axId val="678356991"/>
        <c:axId val="678346911"/>
      </c:barChart>
      <c:catAx>
        <c:axId val="678356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8346911"/>
        <c:crosses val="autoZero"/>
        <c:auto val="1"/>
        <c:lblAlgn val="ctr"/>
        <c:lblOffset val="100"/>
        <c:noMultiLvlLbl val="0"/>
      </c:catAx>
      <c:valAx>
        <c:axId val="678346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8356991"/>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a:noFill/>
    </a:ln>
    <a:effectLst>
      <a:softEdge rad="889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[PNRao_SalesRetail_Sales_Transactions.xlsx]Store contribution!PivotTable6</c:name>
    <c:fmtId val="1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Store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'Store contribution'!$B$3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'Store contribution'!$A$4:$A$13</c:f>
              <c:strCache>
                <c:ptCount val="9"/>
                <c:pt idx="0">
                  <c:v>STO-04</c:v>
                </c:pt>
                <c:pt idx="1">
                  <c:v>STO-03</c:v>
                </c:pt>
                <c:pt idx="2">
                  <c:v>STO-02</c:v>
                </c:pt>
                <c:pt idx="3">
                  <c:v>STO-01</c:v>
                </c:pt>
                <c:pt idx="4">
                  <c:v> STO-02</c:v>
                </c:pt>
                <c:pt idx="5">
                  <c:v>Unknown</c:v>
                </c:pt>
                <c:pt idx="6">
                  <c:v> STO-04</c:v>
                </c:pt>
                <c:pt idx="7">
                  <c:v> STO-01</c:v>
                </c:pt>
                <c:pt idx="8">
                  <c:v> STO-03</c:v>
                </c:pt>
              </c:strCache>
            </c:strRef>
          </c:cat>
          <c:val>
            <c:numRef>
              <c:f>'Store contribution'!$B$4:$B$13</c:f>
              <c:numCache>
                <c:formatCode>General</c:formatCode>
                <c:ptCount val="9"/>
                <c:pt idx="0">
                  <c:v>69264.899999999994</c:v>
                </c:pt>
                <c:pt idx="1">
                  <c:v>64747.6</c:v>
                </c:pt>
                <c:pt idx="2">
                  <c:v>58930.7</c:v>
                </c:pt>
                <c:pt idx="3">
                  <c:v>56597.35</c:v>
                </c:pt>
                <c:pt idx="4">
                  <c:v>5039.7</c:v>
                </c:pt>
                <c:pt idx="5">
                  <c:v>4483.2</c:v>
                </c:pt>
                <c:pt idx="6">
                  <c:v>3801.15</c:v>
                </c:pt>
                <c:pt idx="7">
                  <c:v>3252.35</c:v>
                </c:pt>
                <c:pt idx="8">
                  <c:v>2671.45</c:v>
                </c:pt>
              </c:numCache>
            </c:numRef>
          </c:val>
          <c:extLst>
            <c:ext xmlns:c16="http://schemas.microsoft.com/office/drawing/2014/chart" uri="{C3380CC4-5D6E-409C-BE32-E72D297353CC}">
              <c16:uniqueId val="{00000000-911C-466D-AC5B-946D3D0DE8FB}"/>
            </c:ext>
          </c:extLst>
        </c:ser>
        <c:dLbls>
          <c:showLegendKey val="0"/>
          <c:showVal val="0"/>
          <c:showCatName val="0"/>
          <c:showSerName val="0"/>
          <c:showPercent val="0"/>
          <c:showBubbleSize val="0"/>
        </c:dLbls>
        <c:gapWidth val="65"/>
        <c:shape val="box"/>
        <c:axId val="1820668239"/>
        <c:axId val="1820675919"/>
        <c:axId val="0"/>
      </c:bar3DChart>
      <c:catAx>
        <c:axId val="18206682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820675919"/>
        <c:crosses val="autoZero"/>
        <c:auto val="1"/>
        <c:lblAlgn val="ctr"/>
        <c:lblOffset val="100"/>
        <c:noMultiLvlLbl val="0"/>
      </c:catAx>
      <c:valAx>
        <c:axId val="18206759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06682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5">
          <a:lumMod val="75000"/>
          <a:alpha val="98000"/>
        </a:schemeClr>
      </a:solidFill>
      <a:round/>
    </a:ln>
    <a:effectLst>
      <a:outerShdw blurRad="63500" dist="50800" dir="5400000" sx="4000" sy="4000" algn="ctr" rotWithShape="0">
        <a:srgbClr val="000000">
          <a:alpha val="43137"/>
        </a:srgbClr>
      </a:outerShdw>
      <a:softEdge rad="889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[PNRao_SalesRetail_Sales_Transactions.xlsx]monthly_sales!PivotTable3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monthly_sales!$A$4:$A$16</c:f>
              <c:strCache>
                <c:ptCount val="12"/>
                <c:pt idx="0">
                  <c:v>July</c:v>
                </c:pt>
                <c:pt idx="1">
                  <c:v>November</c:v>
                </c:pt>
                <c:pt idx="2">
                  <c:v>September</c:v>
                </c:pt>
                <c:pt idx="3">
                  <c:v>January</c:v>
                </c:pt>
                <c:pt idx="4">
                  <c:v>March</c:v>
                </c:pt>
                <c:pt idx="5">
                  <c:v>June</c:v>
                </c:pt>
                <c:pt idx="6">
                  <c:v>May</c:v>
                </c:pt>
                <c:pt idx="7">
                  <c:v>December</c:v>
                </c:pt>
                <c:pt idx="8">
                  <c:v>August</c:v>
                </c:pt>
                <c:pt idx="9">
                  <c:v>October</c:v>
                </c:pt>
                <c:pt idx="10">
                  <c:v>April</c:v>
                </c:pt>
                <c:pt idx="11">
                  <c:v>February</c:v>
                </c:pt>
              </c:strCache>
            </c:strRef>
          </c:cat>
          <c:val>
            <c:numRef>
              <c:f>monthly_sales!$B$4:$B$16</c:f>
              <c:numCache>
                <c:formatCode>General</c:formatCode>
                <c:ptCount val="12"/>
                <c:pt idx="0">
                  <c:v>28789.1</c:v>
                </c:pt>
                <c:pt idx="1">
                  <c:v>25371.649999999994</c:v>
                </c:pt>
                <c:pt idx="2">
                  <c:v>25031.35</c:v>
                </c:pt>
                <c:pt idx="3">
                  <c:v>23637.899999999998</c:v>
                </c:pt>
                <c:pt idx="4">
                  <c:v>23272.15</c:v>
                </c:pt>
                <c:pt idx="5">
                  <c:v>22546.249999999996</c:v>
                </c:pt>
                <c:pt idx="6">
                  <c:v>22273.800000000003</c:v>
                </c:pt>
                <c:pt idx="7">
                  <c:v>22114.35</c:v>
                </c:pt>
                <c:pt idx="8">
                  <c:v>21575.200000000001</c:v>
                </c:pt>
                <c:pt idx="9">
                  <c:v>18982.400000000001</c:v>
                </c:pt>
                <c:pt idx="10">
                  <c:v>18516.650000000001</c:v>
                </c:pt>
                <c:pt idx="11">
                  <c:v>16677.600000000002</c:v>
                </c:pt>
              </c:numCache>
            </c:numRef>
          </c:val>
          <c:smooth val="0"/>
          <c:extLst>
            <c:ext xmlns:c16="http://schemas.microsoft.com/office/drawing/2014/chart" uri="{C3380CC4-5D6E-409C-BE32-E72D297353CC}">
              <c16:uniqueId val="{00000000-F77F-4BF6-97D9-3D53C475EE53}"/>
            </c:ext>
          </c:extLst>
        </c:ser>
        <c:dLbls>
          <c:showLegendKey val="0"/>
          <c:showVal val="0"/>
          <c:showCatName val="0"/>
          <c:showSerName val="0"/>
          <c:showPercent val="0"/>
          <c:showBubbleSize val="0"/>
        </c:dLbls>
        <c:marker val="1"/>
        <c:smooth val="0"/>
        <c:axId val="721438351"/>
        <c:axId val="721439311"/>
      </c:lineChart>
      <c:catAx>
        <c:axId val="7214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21439311"/>
        <c:crosses val="autoZero"/>
        <c:auto val="1"/>
        <c:lblAlgn val="ctr"/>
        <c:lblOffset val="100"/>
        <c:noMultiLvlLbl val="0"/>
      </c:catAx>
      <c:valAx>
        <c:axId val="72143931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3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426720</xdr:colOff>
      <xdr:row>5</xdr:row>
      <xdr:rowOff>91440</xdr:rowOff>
    </xdr:from>
    <xdr:to>
      <xdr:col>19</xdr:col>
      <xdr:colOff>72390</xdr:colOff>
      <xdr:row>19</xdr:row>
      <xdr:rowOff>60960</xdr:rowOff>
    </xdr:to>
    <xdr:graphicFrame macro="">
      <xdr:nvGraphicFramePr>
        <xdr:cNvPr id="3" name="Chart 2">
          <a:extLst>
            <a:ext uri="{FF2B5EF4-FFF2-40B4-BE49-F238E27FC236}">
              <a16:creationId xmlns:a16="http://schemas.microsoft.com/office/drawing/2014/main" id="{7645ED74-1ECB-F951-51E7-55A4C830A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346710</xdr:colOff>
      <xdr:row>5</xdr:row>
      <xdr:rowOff>91440</xdr:rowOff>
    </xdr:from>
    <xdr:to>
      <xdr:col>9</xdr:col>
      <xdr:colOff>224790</xdr:colOff>
      <xdr:row>19</xdr:row>
      <xdr:rowOff>60960</xdr:rowOff>
    </xdr:to>
    <xdr:graphicFrame macro="">
      <xdr:nvGraphicFramePr>
        <xdr:cNvPr id="2" name="Chart 1">
          <a:extLst>
            <a:ext uri="{FF2B5EF4-FFF2-40B4-BE49-F238E27FC236}">
              <a16:creationId xmlns:a16="http://schemas.microsoft.com/office/drawing/2014/main" id="{27386EBE-C8CB-01DF-71DA-93DA339F7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xdr:colOff>
      <xdr:row>2</xdr:row>
      <xdr:rowOff>7620</xdr:rowOff>
    </xdr:from>
    <xdr:to>
      <xdr:col>9</xdr:col>
      <xdr:colOff>552450</xdr:colOff>
      <xdr:row>15</xdr:row>
      <xdr:rowOff>175260</xdr:rowOff>
    </xdr:to>
    <xdr:graphicFrame macro="">
      <xdr:nvGraphicFramePr>
        <xdr:cNvPr id="2" name="Chart 1">
          <a:extLst>
            <a:ext uri="{FF2B5EF4-FFF2-40B4-BE49-F238E27FC236}">
              <a16:creationId xmlns:a16="http://schemas.microsoft.com/office/drawing/2014/main" id="{484A11CD-8205-92CF-621C-BA128289B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201930</xdr:colOff>
      <xdr:row>6</xdr:row>
      <xdr:rowOff>129540</xdr:rowOff>
    </xdr:from>
    <xdr:to>
      <xdr:col>10</xdr:col>
      <xdr:colOff>80010</xdr:colOff>
      <xdr:row>20</xdr:row>
      <xdr:rowOff>99060</xdr:rowOff>
    </xdr:to>
    <xdr:graphicFrame macro="">
      <xdr:nvGraphicFramePr>
        <xdr:cNvPr id="2" name="Chart 1">
          <a:extLst>
            <a:ext uri="{FF2B5EF4-FFF2-40B4-BE49-F238E27FC236}">
              <a16:creationId xmlns:a16="http://schemas.microsoft.com/office/drawing/2014/main" id="{5D1B893F-12F8-45A1-052E-B813ED4A1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274319</xdr:colOff>
      <xdr:row>0</xdr:row>
      <xdr:rowOff>106680</xdr:rowOff>
    </xdr:from>
    <xdr:to>
      <xdr:col>16</xdr:col>
      <xdr:colOff>76200</xdr:colOff>
      <xdr:row>40</xdr:row>
      <xdr:rowOff>152400</xdr:rowOff>
    </xdr:to>
    <xdr:sp macro="" textlink="">
      <xdr:nvSpPr>
        <xdr:cNvPr id="27" name="Rectangle 26">
          <a:extLst>
            <a:ext uri="{FF2B5EF4-FFF2-40B4-BE49-F238E27FC236}">
              <a16:creationId xmlns:a16="http://schemas.microsoft.com/office/drawing/2014/main" id="{2C93B7DA-9F99-A02F-4EE3-0427F9B567F4}"/>
            </a:ext>
          </a:extLst>
        </xdr:cNvPr>
        <xdr:cNvSpPr/>
      </xdr:nvSpPr>
      <xdr:spPr>
        <a:xfrm>
          <a:off x="274319" y="106680"/>
          <a:ext cx="10571481" cy="8173720"/>
        </a:xfrm>
        <a:prstGeom prst="rect">
          <a:avLst/>
        </a:prstGeom>
        <a:solidFill>
          <a:schemeClr val="bg1">
            <a:lumMod val="7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a:t> q</a:t>
          </a:r>
        </a:p>
      </xdr:txBody>
    </xdr:sp>
    <xdr:clientData/>
  </xdr:twoCellAnchor>
  <xdr:twoCellAnchor>
    <xdr:from>
      <xdr:col>0</xdr:col>
      <xdr:colOff>335280</xdr:colOff>
      <xdr:row>0</xdr:row>
      <xdr:rowOff>137160</xdr:rowOff>
    </xdr:from>
    <xdr:to>
      <xdr:col>15</xdr:col>
      <xdr:colOff>548640</xdr:colOff>
      <xdr:row>3</xdr:row>
      <xdr:rowOff>91440</xdr:rowOff>
    </xdr:to>
    <xdr:sp macro="" textlink="">
      <xdr:nvSpPr>
        <xdr:cNvPr id="6" name="Rectangle: Rounded Corners 5">
          <a:extLst>
            <a:ext uri="{FF2B5EF4-FFF2-40B4-BE49-F238E27FC236}">
              <a16:creationId xmlns:a16="http://schemas.microsoft.com/office/drawing/2014/main" id="{BF89D012-7D0A-4EFA-6C8F-2C3F6809880A}"/>
            </a:ext>
          </a:extLst>
        </xdr:cNvPr>
        <xdr:cNvSpPr/>
      </xdr:nvSpPr>
      <xdr:spPr>
        <a:xfrm>
          <a:off x="335280" y="137160"/>
          <a:ext cx="10271760" cy="548640"/>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2800" b="1">
              <a:solidFill>
                <a:schemeClr val="tx1"/>
              </a:solidFill>
            </a:rPr>
            <a:t>Sales distribution Dashboard</a:t>
          </a:r>
        </a:p>
      </xdr:txBody>
    </xdr:sp>
    <xdr:clientData/>
  </xdr:twoCellAnchor>
  <xdr:twoCellAnchor>
    <xdr:from>
      <xdr:col>0</xdr:col>
      <xdr:colOff>381000</xdr:colOff>
      <xdr:row>3</xdr:row>
      <xdr:rowOff>152400</xdr:rowOff>
    </xdr:from>
    <xdr:to>
      <xdr:col>3</xdr:col>
      <xdr:colOff>320040</xdr:colOff>
      <xdr:row>7</xdr:row>
      <xdr:rowOff>114300</xdr:rowOff>
    </xdr:to>
    <xdr:sp macro="" textlink="'sum amount'!A4">
      <xdr:nvSpPr>
        <xdr:cNvPr id="9" name="Rectangle: Rounded Corners 8">
          <a:extLst>
            <a:ext uri="{FF2B5EF4-FFF2-40B4-BE49-F238E27FC236}">
              <a16:creationId xmlns:a16="http://schemas.microsoft.com/office/drawing/2014/main" id="{0124AF67-A455-8099-F236-5168F4BB0D3E}"/>
            </a:ext>
          </a:extLst>
        </xdr:cNvPr>
        <xdr:cNvSpPr/>
      </xdr:nvSpPr>
      <xdr:spPr>
        <a:xfrm>
          <a:off x="381000" y="746760"/>
          <a:ext cx="1950720" cy="754380"/>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0" i="0" u="none" strike="noStrike">
              <a:solidFill>
                <a:srgbClr val="000000"/>
              </a:solidFill>
              <a:latin typeface="Calibri"/>
              <a:cs typeface="Calibri"/>
            </a:rPr>
            <a:t>Total Revenue:</a:t>
          </a:r>
        </a:p>
        <a:p>
          <a:pPr algn="l"/>
          <a:r>
            <a:rPr lang="en-US" sz="1200" b="0" i="0" u="none" strike="noStrike">
              <a:solidFill>
                <a:srgbClr val="000000"/>
              </a:solidFill>
              <a:latin typeface="Calibri"/>
              <a:cs typeface="Calibri"/>
            </a:rPr>
            <a:t>₹ </a:t>
          </a:r>
          <a:fld id="{AB8F51D0-246B-446D-8F19-98E6435FB702}" type="TxLink">
            <a:rPr lang="en-US" sz="1200" b="0" i="0" u="none" strike="noStrike">
              <a:solidFill>
                <a:srgbClr val="000000"/>
              </a:solidFill>
              <a:latin typeface="Calibri"/>
              <a:cs typeface="Calibri"/>
            </a:rPr>
            <a:pPr algn="l"/>
            <a:t>268788.4</a:t>
          </a:fld>
          <a:endParaRPr lang="en-US" sz="1100"/>
        </a:p>
      </xdr:txBody>
    </xdr:sp>
    <xdr:clientData/>
  </xdr:twoCellAnchor>
  <xdr:twoCellAnchor>
    <xdr:from>
      <xdr:col>3</xdr:col>
      <xdr:colOff>457200</xdr:colOff>
      <xdr:row>3</xdr:row>
      <xdr:rowOff>152400</xdr:rowOff>
    </xdr:from>
    <xdr:to>
      <xdr:col>6</xdr:col>
      <xdr:colOff>396240</xdr:colOff>
      <xdr:row>7</xdr:row>
      <xdr:rowOff>114300</xdr:rowOff>
    </xdr:to>
    <xdr:sp macro="" textlink="'Store contribution'!A4">
      <xdr:nvSpPr>
        <xdr:cNvPr id="17" name="Rectangle: Rounded Corners 16">
          <a:extLst>
            <a:ext uri="{FF2B5EF4-FFF2-40B4-BE49-F238E27FC236}">
              <a16:creationId xmlns:a16="http://schemas.microsoft.com/office/drawing/2014/main" id="{1E3D80E6-BB1C-4931-BA7C-1A176F575D56}"/>
            </a:ext>
          </a:extLst>
        </xdr:cNvPr>
        <xdr:cNvSpPr/>
      </xdr:nvSpPr>
      <xdr:spPr>
        <a:xfrm>
          <a:off x="2468880" y="746760"/>
          <a:ext cx="1950720" cy="754380"/>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0" i="0" u="none" strike="noStrike">
              <a:solidFill>
                <a:srgbClr val="000000"/>
              </a:solidFill>
              <a:latin typeface="Calibri"/>
              <a:cs typeface="Calibri"/>
            </a:rPr>
            <a:t>Top Store:</a:t>
          </a:r>
          <a:br>
            <a:rPr lang="en-US" sz="1200" b="0" i="0" u="none" strike="noStrike">
              <a:solidFill>
                <a:srgbClr val="000000"/>
              </a:solidFill>
              <a:latin typeface="Calibri"/>
              <a:cs typeface="Calibri"/>
            </a:rPr>
          </a:br>
          <a:fld id="{0D71690A-3516-4347-A460-442EF4299563}" type="TxLink">
            <a:rPr lang="en-US" sz="1200" b="0" i="0" u="none" strike="noStrike">
              <a:solidFill>
                <a:srgbClr val="000000"/>
              </a:solidFill>
              <a:latin typeface="Calibri"/>
              <a:cs typeface="Calibri"/>
            </a:rPr>
            <a:pPr algn="l"/>
            <a:t>STO-04</a:t>
          </a:fld>
          <a:endParaRPr lang="en-US" sz="1200" b="0" i="0" u="none" strike="noStrike">
            <a:solidFill>
              <a:srgbClr val="000000"/>
            </a:solidFill>
            <a:latin typeface="Calibri"/>
            <a:cs typeface="Calibri"/>
          </a:endParaRPr>
        </a:p>
      </xdr:txBody>
    </xdr:sp>
    <xdr:clientData/>
  </xdr:twoCellAnchor>
  <xdr:twoCellAnchor>
    <xdr:from>
      <xdr:col>6</xdr:col>
      <xdr:colOff>484414</xdr:colOff>
      <xdr:row>3</xdr:row>
      <xdr:rowOff>152400</xdr:rowOff>
    </xdr:from>
    <xdr:to>
      <xdr:col>9</xdr:col>
      <xdr:colOff>449580</xdr:colOff>
      <xdr:row>7</xdr:row>
      <xdr:rowOff>114300</xdr:rowOff>
    </xdr:to>
    <xdr:sp macro="" textlink="'Employee type'!$B$5">
      <xdr:nvSpPr>
        <xdr:cNvPr id="20" name="Rectangle: Rounded Corners 19">
          <a:extLst>
            <a:ext uri="{FF2B5EF4-FFF2-40B4-BE49-F238E27FC236}">
              <a16:creationId xmlns:a16="http://schemas.microsoft.com/office/drawing/2014/main" id="{B34EB3BB-A3B8-4753-A613-936011FE4E11}"/>
            </a:ext>
          </a:extLst>
        </xdr:cNvPr>
        <xdr:cNvSpPr/>
      </xdr:nvSpPr>
      <xdr:spPr>
        <a:xfrm>
          <a:off x="4501243" y="740229"/>
          <a:ext cx="1973580" cy="745671"/>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0" i="0" u="none" strike="noStrike" baseline="0">
              <a:solidFill>
                <a:srgbClr val="000000"/>
              </a:solidFill>
              <a:latin typeface="Calibri"/>
              <a:cs typeface="Calibri"/>
            </a:rPr>
            <a:t>Revenue without Employee Attribute: </a:t>
          </a:r>
          <a:fld id="{F6A080DB-3D9A-4577-AFA7-F22543717D77}" type="TxLink">
            <a:rPr lang="en-US" sz="1200" b="0" i="0" u="none" strike="noStrike">
              <a:solidFill>
                <a:srgbClr val="000000"/>
              </a:solidFill>
              <a:latin typeface="Calibri"/>
              <a:cs typeface="Calibri"/>
            </a:rPr>
            <a:pPr algn="l"/>
            <a:t>3.29%</a:t>
          </a:fld>
          <a:endParaRPr lang="en-US"/>
        </a:p>
      </xdr:txBody>
    </xdr:sp>
    <xdr:clientData/>
  </xdr:twoCellAnchor>
  <xdr:twoCellAnchor>
    <xdr:from>
      <xdr:col>12</xdr:col>
      <xdr:colOff>601980</xdr:colOff>
      <xdr:row>3</xdr:row>
      <xdr:rowOff>137160</xdr:rowOff>
    </xdr:from>
    <xdr:to>
      <xdr:col>15</xdr:col>
      <xdr:colOff>541020</xdr:colOff>
      <xdr:row>7</xdr:row>
      <xdr:rowOff>99060</xdr:rowOff>
    </xdr:to>
    <xdr:sp macro="" textlink="'most valuable custo'!A4">
      <xdr:nvSpPr>
        <xdr:cNvPr id="22" name="Rectangle: Rounded Corners 21">
          <a:extLst>
            <a:ext uri="{FF2B5EF4-FFF2-40B4-BE49-F238E27FC236}">
              <a16:creationId xmlns:a16="http://schemas.microsoft.com/office/drawing/2014/main" id="{826D4B06-2B16-42AB-B4CA-57838821AEFC}"/>
            </a:ext>
          </a:extLst>
        </xdr:cNvPr>
        <xdr:cNvSpPr/>
      </xdr:nvSpPr>
      <xdr:spPr>
        <a:xfrm>
          <a:off x="8648700" y="731520"/>
          <a:ext cx="1950720" cy="754380"/>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0" i="0" u="none" strike="noStrike">
              <a:solidFill>
                <a:srgbClr val="000000"/>
              </a:solidFill>
              <a:latin typeface="Calibri"/>
              <a:cs typeface="Calibri"/>
            </a:rPr>
            <a:t>Top</a:t>
          </a:r>
          <a:r>
            <a:rPr lang="en-US" sz="1200" b="0" i="0" u="none" strike="noStrike" baseline="0">
              <a:solidFill>
                <a:srgbClr val="000000"/>
              </a:solidFill>
              <a:latin typeface="Calibri"/>
              <a:cs typeface="Calibri"/>
            </a:rPr>
            <a:t> Customer:</a:t>
          </a:r>
        </a:p>
        <a:p>
          <a:pPr algn="l"/>
          <a:fld id="{7AFA06D0-8A9B-4FBB-9B0F-4DACE0D609C7}" type="TxLink">
            <a:rPr lang="en-US" sz="1200" b="0" i="0" u="none" strike="noStrike">
              <a:solidFill>
                <a:srgbClr val="000000"/>
              </a:solidFill>
              <a:latin typeface="Calibri"/>
              <a:cs typeface="Calibri"/>
            </a:rPr>
            <a:pPr algn="l"/>
            <a:t>CUST-1196</a:t>
          </a:fld>
          <a:endParaRPr lang="en-US" sz="1200" b="0" i="0" u="none" strike="noStrike">
            <a:solidFill>
              <a:srgbClr val="000000"/>
            </a:solidFill>
            <a:latin typeface="Calibri"/>
            <a:cs typeface="Calibri"/>
          </a:endParaRPr>
        </a:p>
      </xdr:txBody>
    </xdr:sp>
    <xdr:clientData/>
  </xdr:twoCellAnchor>
  <xdr:twoCellAnchor>
    <xdr:from>
      <xdr:col>0</xdr:col>
      <xdr:colOff>403860</xdr:colOff>
      <xdr:row>8</xdr:row>
      <xdr:rowOff>63500</xdr:rowOff>
    </xdr:from>
    <xdr:to>
      <xdr:col>6</xdr:col>
      <xdr:colOff>228600</xdr:colOff>
      <xdr:row>24</xdr:row>
      <xdr:rowOff>116417</xdr:rowOff>
    </xdr:to>
    <xdr:sp macro="" textlink="">
      <xdr:nvSpPr>
        <xdr:cNvPr id="23" name="Rectangle: Rounded Corners 22">
          <a:extLst>
            <a:ext uri="{FF2B5EF4-FFF2-40B4-BE49-F238E27FC236}">
              <a16:creationId xmlns:a16="http://schemas.microsoft.com/office/drawing/2014/main" id="{555C8A64-BD5C-40EA-8D43-9679CDB8EC22}"/>
            </a:ext>
          </a:extLst>
        </xdr:cNvPr>
        <xdr:cNvSpPr/>
      </xdr:nvSpPr>
      <xdr:spPr>
        <a:xfrm>
          <a:off x="403860" y="1672167"/>
          <a:ext cx="3825240" cy="3270250"/>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baseline="0"/>
            <a:t> </a:t>
          </a:r>
          <a:r>
            <a:rPr lang="en-US" baseline="0">
              <a:solidFill>
                <a:schemeClr val="tx1"/>
              </a:solidFill>
            </a:rPr>
            <a:t>Store Contribution</a:t>
          </a:r>
          <a:endParaRPr lang="en-US">
            <a:solidFill>
              <a:schemeClr val="tx1"/>
            </a:solidFill>
          </a:endParaRPr>
        </a:p>
      </xdr:txBody>
    </xdr:sp>
    <xdr:clientData/>
  </xdr:twoCellAnchor>
  <xdr:twoCellAnchor>
    <xdr:from>
      <xdr:col>0</xdr:col>
      <xdr:colOff>396239</xdr:colOff>
      <xdr:row>25</xdr:row>
      <xdr:rowOff>76200</xdr:rowOff>
    </xdr:from>
    <xdr:to>
      <xdr:col>6</xdr:col>
      <xdr:colOff>264582</xdr:colOff>
      <xdr:row>40</xdr:row>
      <xdr:rowOff>38100</xdr:rowOff>
    </xdr:to>
    <xdr:sp macro="" textlink="">
      <xdr:nvSpPr>
        <xdr:cNvPr id="24" name="Rectangle: Rounded Corners 23">
          <a:extLst>
            <a:ext uri="{FF2B5EF4-FFF2-40B4-BE49-F238E27FC236}">
              <a16:creationId xmlns:a16="http://schemas.microsoft.com/office/drawing/2014/main" id="{9CD94499-A701-4D84-A07E-7E66B31B86CA}"/>
            </a:ext>
          </a:extLst>
        </xdr:cNvPr>
        <xdr:cNvSpPr/>
      </xdr:nvSpPr>
      <xdr:spPr>
        <a:xfrm>
          <a:off x="396239" y="5103283"/>
          <a:ext cx="3868843" cy="2978150"/>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a:t> </a:t>
          </a:r>
          <a:r>
            <a:rPr lang="en-US">
              <a:solidFill>
                <a:schemeClr val="tx1"/>
              </a:solidFill>
            </a:rPr>
            <a:t>Monthly Sales Trend </a:t>
          </a:r>
        </a:p>
      </xdr:txBody>
    </xdr:sp>
    <xdr:clientData/>
  </xdr:twoCellAnchor>
  <xdr:twoCellAnchor>
    <xdr:from>
      <xdr:col>6</xdr:col>
      <xdr:colOff>380999</xdr:colOff>
      <xdr:row>8</xdr:row>
      <xdr:rowOff>52916</xdr:rowOff>
    </xdr:from>
    <xdr:to>
      <xdr:col>12</xdr:col>
      <xdr:colOff>275166</xdr:colOff>
      <xdr:row>24</xdr:row>
      <xdr:rowOff>76200</xdr:rowOff>
    </xdr:to>
    <xdr:sp macro="" textlink="">
      <xdr:nvSpPr>
        <xdr:cNvPr id="25" name="Rectangle: Rounded Corners 24">
          <a:extLst>
            <a:ext uri="{FF2B5EF4-FFF2-40B4-BE49-F238E27FC236}">
              <a16:creationId xmlns:a16="http://schemas.microsoft.com/office/drawing/2014/main" id="{14223309-E0D6-41A5-8D38-1240FE32000C}"/>
            </a:ext>
          </a:extLst>
        </xdr:cNvPr>
        <xdr:cNvSpPr/>
      </xdr:nvSpPr>
      <xdr:spPr>
        <a:xfrm>
          <a:off x="4381499" y="1661583"/>
          <a:ext cx="3894667" cy="3240617"/>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a:solidFill>
                <a:schemeClr val="tx1"/>
              </a:solidFill>
            </a:rPr>
            <a:t>Promotion Impact on Sales</a:t>
          </a:r>
        </a:p>
      </xdr:txBody>
    </xdr:sp>
    <xdr:clientData/>
  </xdr:twoCellAnchor>
  <xdr:twoCellAnchor>
    <xdr:from>
      <xdr:col>6</xdr:col>
      <xdr:colOff>381000</xdr:colOff>
      <xdr:row>25</xdr:row>
      <xdr:rowOff>53340</xdr:rowOff>
    </xdr:from>
    <xdr:to>
      <xdr:col>12</xdr:col>
      <xdr:colOff>266700</xdr:colOff>
      <xdr:row>40</xdr:row>
      <xdr:rowOff>15240</xdr:rowOff>
    </xdr:to>
    <xdr:sp macro="" textlink="">
      <xdr:nvSpPr>
        <xdr:cNvPr id="26" name="Rectangle: Rounded Corners 25">
          <a:extLst>
            <a:ext uri="{FF2B5EF4-FFF2-40B4-BE49-F238E27FC236}">
              <a16:creationId xmlns:a16="http://schemas.microsoft.com/office/drawing/2014/main" id="{F7EB143B-E256-4D6E-B4BD-DEF2461184CC}"/>
            </a:ext>
          </a:extLst>
        </xdr:cNvPr>
        <xdr:cNvSpPr/>
      </xdr:nvSpPr>
      <xdr:spPr>
        <a:xfrm>
          <a:off x="4381500" y="5080423"/>
          <a:ext cx="3886200" cy="2978150"/>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a:solidFill>
                <a:schemeClr val="tx1"/>
              </a:solidFill>
            </a:rPr>
            <a:t>Employee</a:t>
          </a:r>
          <a:r>
            <a:rPr lang="en-US" baseline="0">
              <a:solidFill>
                <a:schemeClr val="tx1"/>
              </a:solidFill>
            </a:rPr>
            <a:t> Tpyewise Contribution</a:t>
          </a:r>
          <a:endParaRPr lang="en-US">
            <a:solidFill>
              <a:schemeClr val="tx1"/>
            </a:solidFill>
          </a:endParaRPr>
        </a:p>
      </xdr:txBody>
    </xdr:sp>
    <xdr:clientData/>
  </xdr:twoCellAnchor>
  <xdr:twoCellAnchor>
    <xdr:from>
      <xdr:col>6</xdr:col>
      <xdr:colOff>632460</xdr:colOff>
      <xdr:row>10</xdr:row>
      <xdr:rowOff>137160</xdr:rowOff>
    </xdr:from>
    <xdr:to>
      <xdr:col>11</xdr:col>
      <xdr:colOff>624840</xdr:colOff>
      <xdr:row>23</xdr:row>
      <xdr:rowOff>182880</xdr:rowOff>
    </xdr:to>
    <xdr:graphicFrame macro="">
      <xdr:nvGraphicFramePr>
        <xdr:cNvPr id="29" name="Chart 28">
          <a:extLst>
            <a:ext uri="{FF2B5EF4-FFF2-40B4-BE49-F238E27FC236}">
              <a16:creationId xmlns:a16="http://schemas.microsoft.com/office/drawing/2014/main" id="{98CDF89D-1366-439A-A512-2EABC3F39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533400</xdr:colOff>
      <xdr:row>27</xdr:row>
      <xdr:rowOff>53340</xdr:rowOff>
    </xdr:from>
    <xdr:to>
      <xdr:col>6</xdr:col>
      <xdr:colOff>68580</xdr:colOff>
      <xdr:row>39</xdr:row>
      <xdr:rowOff>38100</xdr:rowOff>
    </xdr:to>
    <xdr:graphicFrame macro="">
      <xdr:nvGraphicFramePr>
        <xdr:cNvPr id="30" name="Chart 29">
          <a:extLst>
            <a:ext uri="{FF2B5EF4-FFF2-40B4-BE49-F238E27FC236}">
              <a16:creationId xmlns:a16="http://schemas.microsoft.com/office/drawing/2014/main" id="{15288FAE-323F-42DD-9963-2F2017277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617220</xdr:colOff>
      <xdr:row>27</xdr:row>
      <xdr:rowOff>68580</xdr:rowOff>
    </xdr:from>
    <xdr:to>
      <xdr:col>12</xdr:col>
      <xdr:colOff>60960</xdr:colOff>
      <xdr:row>39</xdr:row>
      <xdr:rowOff>15240</xdr:rowOff>
    </xdr:to>
    <xdr:graphicFrame macro="">
      <xdr:nvGraphicFramePr>
        <xdr:cNvPr id="31" name="Chart 30">
          <a:extLst>
            <a:ext uri="{FF2B5EF4-FFF2-40B4-BE49-F238E27FC236}">
              <a16:creationId xmlns:a16="http://schemas.microsoft.com/office/drawing/2014/main" id="{0D4600FD-D5AA-448E-BACC-3F75739E1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388620</xdr:colOff>
      <xdr:row>8</xdr:row>
      <xdr:rowOff>68580</xdr:rowOff>
    </xdr:from>
    <xdr:to>
      <xdr:col>15</xdr:col>
      <xdr:colOff>563880</xdr:colOff>
      <xdr:row>40</xdr:row>
      <xdr:rowOff>22860</xdr:rowOff>
    </xdr:to>
    <xdr:sp macro="" textlink="">
      <xdr:nvSpPr>
        <xdr:cNvPr id="33" name="Rectangle: Rounded Corners 32">
          <a:extLst>
            <a:ext uri="{FF2B5EF4-FFF2-40B4-BE49-F238E27FC236}">
              <a16:creationId xmlns:a16="http://schemas.microsoft.com/office/drawing/2014/main" id="{CF682396-E521-A88E-11E2-15AD6FD999EC}"/>
            </a:ext>
          </a:extLst>
        </xdr:cNvPr>
        <xdr:cNvSpPr/>
      </xdr:nvSpPr>
      <xdr:spPr>
        <a:xfrm>
          <a:off x="8471263" y="1647009"/>
          <a:ext cx="2195921" cy="6267994"/>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a:t> </a:t>
          </a:r>
        </a:p>
      </xdr:txBody>
    </xdr:sp>
    <xdr:clientData/>
  </xdr:twoCellAnchor>
  <xdr:twoCellAnchor editAs="oneCell">
    <xdr:from>
      <xdr:col>12</xdr:col>
      <xdr:colOff>586740</xdr:colOff>
      <xdr:row>9</xdr:row>
      <xdr:rowOff>22860</xdr:rowOff>
    </xdr:from>
    <xdr:to>
      <xdr:col>15</xdr:col>
      <xdr:colOff>403860</xdr:colOff>
      <xdr:row>15</xdr:row>
      <xdr:rowOff>81642</xdr:rowOff>
    </xdr:to>
    <mc:AlternateContent xmlns:mc="http://schemas.openxmlformats.org/markup-compatibility/2006" xmlns:a14="http://schemas.microsoft.com/office/drawing/2010/main">
      <mc:Choice Requires="a14">
        <xdr:graphicFrame macro="">
          <xdr:nvGraphicFramePr>
            <xdr:cNvPr id="32" name="month">
              <a:extLst>
                <a:ext uri="{FF2B5EF4-FFF2-40B4-BE49-F238E27FC236}">
                  <a16:creationId xmlns:a16="http://schemas.microsoft.com/office/drawing/2014/main" id="{CAAF0B41-7F9C-4036-BF95-A6A5F2409BA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87740" y="1815292"/>
              <a:ext cx="1817370"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591910</xdr:colOff>
      <xdr:row>15</xdr:row>
      <xdr:rowOff>179886</xdr:rowOff>
    </xdr:from>
    <xdr:to>
      <xdr:col>15</xdr:col>
      <xdr:colOff>413930</xdr:colOff>
      <xdr:row>22</xdr:row>
      <xdr:rowOff>88446</xdr:rowOff>
    </xdr:to>
    <mc:AlternateContent xmlns:mc="http://schemas.openxmlformats.org/markup-compatibility/2006" xmlns:a14="http://schemas.microsoft.com/office/drawing/2010/main">
      <mc:Choice Requires="a14">
        <xdr:graphicFrame macro="">
          <xdr:nvGraphicFramePr>
            <xdr:cNvPr id="34" name="StoreID">
              <a:extLst>
                <a:ext uri="{FF2B5EF4-FFF2-40B4-BE49-F238E27FC236}">
                  <a16:creationId xmlns:a16="http://schemas.microsoft.com/office/drawing/2014/main" id="{F4D0DDA3-0674-4F83-88DD-A6F00161E8D9}"/>
                </a:ext>
              </a:extLst>
            </xdr:cNvPr>
            <xdr:cNvGraphicFramePr/>
          </xdr:nvGraphicFramePr>
          <xdr:xfrm>
            <a:off x="0" y="0"/>
            <a:ext cx="0" cy="0"/>
          </xdr:xfrm>
          <a:graphic>
            <a:graphicData uri="http://schemas.microsoft.com/office/drawing/2010/slicer">
              <sle:slicer xmlns:sle="http://schemas.microsoft.com/office/drawing/2010/slicer" name="StoreID"/>
            </a:graphicData>
          </a:graphic>
        </xdr:graphicFrame>
      </mc:Choice>
      <mc:Fallback xmlns="">
        <xdr:sp macro="" textlink="">
          <xdr:nvSpPr>
            <xdr:cNvPr id="0" name=""/>
            <xdr:cNvSpPr>
              <a:spLocks noTextEdit="1"/>
            </xdr:cNvSpPr>
          </xdr:nvSpPr>
          <xdr:spPr>
            <a:xfrm>
              <a:off x="8574767" y="3082743"/>
              <a:ext cx="1817734" cy="1263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595992</xdr:colOff>
      <xdr:row>23</xdr:row>
      <xdr:rowOff>26126</xdr:rowOff>
    </xdr:from>
    <xdr:to>
      <xdr:col>15</xdr:col>
      <xdr:colOff>405492</xdr:colOff>
      <xdr:row>28</xdr:row>
      <xdr:rowOff>64225</xdr:rowOff>
    </xdr:to>
    <mc:AlternateContent xmlns:mc="http://schemas.openxmlformats.org/markup-compatibility/2006" xmlns:a14="http://schemas.microsoft.com/office/drawing/2010/main">
      <mc:Choice Requires="a14">
        <xdr:graphicFrame macro="">
          <xdr:nvGraphicFramePr>
            <xdr:cNvPr id="35" name="promo_flag">
              <a:extLst>
                <a:ext uri="{FF2B5EF4-FFF2-40B4-BE49-F238E27FC236}">
                  <a16:creationId xmlns:a16="http://schemas.microsoft.com/office/drawing/2014/main" id="{6A7484FF-AFC9-4F71-AE47-4142228F6369}"/>
                </a:ext>
              </a:extLst>
            </xdr:cNvPr>
            <xdr:cNvGraphicFramePr/>
          </xdr:nvGraphicFramePr>
          <xdr:xfrm>
            <a:off x="0" y="0"/>
            <a:ext cx="0" cy="0"/>
          </xdr:xfrm>
          <a:graphic>
            <a:graphicData uri="http://schemas.microsoft.com/office/drawing/2010/slicer">
              <sle:slicer xmlns:sle="http://schemas.microsoft.com/office/drawing/2010/slicer" name="promo_flag"/>
            </a:graphicData>
          </a:graphic>
        </xdr:graphicFrame>
      </mc:Choice>
      <mc:Fallback xmlns="">
        <xdr:sp macro="" textlink="">
          <xdr:nvSpPr>
            <xdr:cNvPr id="0" name=""/>
            <xdr:cNvSpPr>
              <a:spLocks noTextEdit="1"/>
            </xdr:cNvSpPr>
          </xdr:nvSpPr>
          <xdr:spPr>
            <a:xfrm>
              <a:off x="8578849" y="4477174"/>
              <a:ext cx="1805214" cy="1005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552057</xdr:colOff>
      <xdr:row>3</xdr:row>
      <xdr:rowOff>128044</xdr:rowOff>
    </xdr:from>
    <xdr:to>
      <xdr:col>12</xdr:col>
      <xdr:colOff>491097</xdr:colOff>
      <xdr:row>7</xdr:row>
      <xdr:rowOff>89944</xdr:rowOff>
    </xdr:to>
    <xdr:sp macro="" textlink="monthly_sales!A4">
      <xdr:nvSpPr>
        <xdr:cNvPr id="2" name="Rectangle: Rounded Corners 1">
          <a:extLst>
            <a:ext uri="{FF2B5EF4-FFF2-40B4-BE49-F238E27FC236}">
              <a16:creationId xmlns:a16="http://schemas.microsoft.com/office/drawing/2014/main" id="{1652BF90-61DA-48AA-B883-753BF236D570}"/>
            </a:ext>
          </a:extLst>
        </xdr:cNvPr>
        <xdr:cNvSpPr/>
      </xdr:nvSpPr>
      <xdr:spPr>
        <a:xfrm>
          <a:off x="6576842" y="726250"/>
          <a:ext cx="1947302" cy="759507"/>
        </a:xfrm>
        <a:prstGeom prst="roundRect">
          <a:avLst/>
        </a:prstGeom>
        <a:solidFill>
          <a:schemeClr val="bg1">
            <a:lumMod val="9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200" b="0" i="0" u="none" strike="noStrike">
              <a:solidFill>
                <a:srgbClr val="000000"/>
              </a:solidFill>
              <a:latin typeface="Calibri"/>
              <a:cs typeface="Calibri"/>
            </a:rPr>
            <a:t>Best Month:</a:t>
          </a:r>
          <a:br>
            <a:rPr lang="en-US" sz="1200" b="0" i="0" u="none" strike="noStrike">
              <a:solidFill>
                <a:srgbClr val="000000"/>
              </a:solidFill>
              <a:latin typeface="Calibri"/>
              <a:cs typeface="Calibri"/>
            </a:rPr>
          </a:br>
          <a:fld id="{E4765A84-7EA6-4639-9CDB-49F9B091A355}" type="TxLink">
            <a:rPr lang="en-US" sz="1200" b="0" i="0" u="none" strike="noStrike">
              <a:solidFill>
                <a:srgbClr val="000000"/>
              </a:solidFill>
              <a:latin typeface="Calibri"/>
              <a:cs typeface="Calibri"/>
            </a:rPr>
            <a:pPr algn="l"/>
            <a:t>July</a:t>
          </a:fld>
          <a:endParaRPr lang="en-US" sz="1200" b="0" i="0" u="none" strike="noStrike">
            <a:solidFill>
              <a:srgbClr val="000000"/>
            </a:solidFill>
            <a:latin typeface="Calibri"/>
            <a:cs typeface="Calibri"/>
          </a:endParaRPr>
        </a:p>
      </xdr:txBody>
    </xdr:sp>
    <xdr:clientData/>
  </xdr:twoCellAnchor>
  <xdr:twoCellAnchor>
    <xdr:from>
      <xdr:col>0</xdr:col>
      <xdr:colOff>594360</xdr:colOff>
      <xdr:row>11</xdr:row>
      <xdr:rowOff>30480</xdr:rowOff>
    </xdr:from>
    <xdr:to>
      <xdr:col>6</xdr:col>
      <xdr:colOff>53340</xdr:colOff>
      <xdr:row>23</xdr:row>
      <xdr:rowOff>114300</xdr:rowOff>
    </xdr:to>
    <xdr:graphicFrame macro="">
      <xdr:nvGraphicFramePr>
        <xdr:cNvPr id="3" name="Chart 2">
          <a:extLst>
            <a:ext uri="{FF2B5EF4-FFF2-40B4-BE49-F238E27FC236}">
              <a16:creationId xmlns:a16="http://schemas.microsoft.com/office/drawing/2014/main" id="{A00778AE-9E3A-475B-9D64-63AF8A70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591912</xdr:colOff>
      <xdr:row>28</xdr:row>
      <xdr:rowOff>122465</xdr:rowOff>
    </xdr:from>
    <xdr:to>
      <xdr:col>15</xdr:col>
      <xdr:colOff>415017</xdr:colOff>
      <xdr:row>39</xdr:row>
      <xdr:rowOff>108857</xdr:rowOff>
    </xdr:to>
    <xdr:sp macro="" textlink="">
      <xdr:nvSpPr>
        <xdr:cNvPr id="4" name="TextBox 3">
          <a:extLst>
            <a:ext uri="{FF2B5EF4-FFF2-40B4-BE49-F238E27FC236}">
              <a16:creationId xmlns:a16="http://schemas.microsoft.com/office/drawing/2014/main" id="{AFA14E02-B110-953C-D97C-4B27190C3F81}"/>
            </a:ext>
          </a:extLst>
        </xdr:cNvPr>
        <xdr:cNvSpPr txBox="1"/>
      </xdr:nvSpPr>
      <xdr:spPr>
        <a:xfrm>
          <a:off x="8674555" y="5646965"/>
          <a:ext cx="1843766" cy="2156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Key Insights:</a:t>
          </a:r>
          <a:br>
            <a:rPr lang="en-US" b="1"/>
          </a:br>
          <a:br>
            <a:rPr lang="en-US"/>
          </a:br>
          <a:r>
            <a:rPr lang="en-US"/>
            <a:t>• STO-04 contributes the highest revenue</a:t>
          </a:r>
          <a:br>
            <a:rPr lang="en-US"/>
          </a:br>
          <a:r>
            <a:rPr lang="en-US"/>
            <a:t>• July records peak sales volume</a:t>
          </a:r>
          <a:br>
            <a:rPr lang="en-US"/>
          </a:br>
          <a:r>
            <a:rPr lang="en-US"/>
            <a:t>• Promotions increase total sales but not significantly avg order value</a:t>
          </a:r>
          <a:br>
            <a:rPr lang="en-US"/>
          </a:br>
          <a:r>
            <a:rPr lang="en-US"/>
            <a:t>• 3.29% revenue lacks employee attribution (data quality gap)</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110490</xdr:colOff>
      <xdr:row>5</xdr:row>
      <xdr:rowOff>91440</xdr:rowOff>
    </xdr:from>
    <xdr:to>
      <xdr:col>9</xdr:col>
      <xdr:colOff>659130</xdr:colOff>
      <xdr:row>19</xdr:row>
      <xdr:rowOff>60960</xdr:rowOff>
    </xdr:to>
    <xdr:graphicFrame macro="">
      <xdr:nvGraphicFramePr>
        <xdr:cNvPr id="2" name="Chart 1">
          <a:extLst>
            <a:ext uri="{FF2B5EF4-FFF2-40B4-BE49-F238E27FC236}">
              <a16:creationId xmlns:a16="http://schemas.microsoft.com/office/drawing/2014/main" id="{39E1B5F7-B370-68C2-9266-8343CC706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ransaction_working%20(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action_working (3)"/>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oj" refreshedDate="46047.711700231484" createdVersion="8" refreshedVersion="8" minRefreshableVersion="3" recordCount="804" xr:uid="{11D19DEB-586A-4C57-9670-FF6BA5DC004A}">
  <cacheSource type="worksheet">
    <worksheetSource ref="A1:N805" sheet="Transaction_working"/>
  </cacheSource>
  <cacheFields count="14">
    <cacheField name="TransactionID" numFmtId="49">
      <sharedItems/>
    </cacheField>
    <cacheField name="CustomerID" numFmtId="0">
      <sharedItems/>
    </cacheField>
    <cacheField name="StoreID" numFmtId="49">
      <sharedItems containsBlank="1"/>
    </cacheField>
    <cacheField name="EmployeeID" numFmtId="49">
      <sharedItems/>
    </cacheField>
    <cacheField name="PromotionID" numFmtId="49">
      <sharedItems/>
    </cacheField>
    <cacheField name="PaymentMethod" numFmtId="49">
      <sharedItems/>
    </cacheField>
    <cacheField name="TotalAmount" numFmtId="2">
      <sharedItems containsSemiMixedTypes="0" containsString="0" containsNumber="1" minValue="42.5" maxValue="960"/>
    </cacheField>
    <cacheField name="date" numFmtId="14">
      <sharedItems/>
    </cacheField>
    <cacheField name="month" numFmtId="0">
      <sharedItems containsSemiMixedTypes="0" containsString="0" containsNumber="1" containsInteger="1" minValue="1" maxValue="12"/>
    </cacheField>
    <cacheField name="season" numFmtId="0">
      <sharedItems/>
    </cacheField>
    <cacheField name="promo_flag" numFmtId="0">
      <sharedItems/>
    </cacheField>
    <cacheField name="Employee_Known_Flag" numFmtId="0">
      <sharedItems/>
    </cacheField>
    <cacheField name="Cust_Visit_Count" numFmtId="0">
      <sharedItems containsSemiMixedTypes="0" containsString="0" containsNumber="1" containsInteger="1" minValue="1" maxValue="9"/>
    </cacheField>
    <cacheField name="Month name" numFmtId="0">
      <sharedItems containsBlank="1" count="13">
        <s v="January"/>
        <s v="February"/>
        <s v="March"/>
        <s v="April"/>
        <s v="May"/>
        <s v="June"/>
        <s v="July"/>
        <s v="August"/>
        <s v="September"/>
        <s v="October"/>
        <s v="November"/>
        <s v="December"/>
        <m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oj" refreshedDate="46047.711700694446" createdVersion="8" refreshedVersion="8" minRefreshableVersion="3" recordCount="804" xr:uid="{F289ECCF-EBB4-4ABA-9C06-805ED4BD0ABF}">
  <cacheSource type="worksheet">
    <worksheetSource ref="A1:M805" sheet="Transaction_working"/>
  </cacheSource>
  <cacheFields count="13">
    <cacheField name="TransactionID" numFmtId="49">
      <sharedItems/>
    </cacheField>
    <cacheField name="CustomerID" numFmtId="0">
      <sharedItems count="226">
        <s v="CUST-1104"/>
        <s v="CUST-1046"/>
        <s v="CUST-1138"/>
        <s v="CUST-1191"/>
        <s v="CUST-1057"/>
        <s v="CUST-1044"/>
        <s v="CUST-1001"/>
        <s v="CUST-1016"/>
        <s v="CUST-1022"/>
        <s v="CUST-1072"/>
        <s v="CUST-1103"/>
        <s v="CUST-1086"/>
        <s v="CUST-1146"/>
        <s v="CUST-1039"/>
        <s v="CUST-1200"/>
        <s v="CUST-1179"/>
        <s v="CUST-1184"/>
        <s v="CUST-1013"/>
        <s v="CUST-1111"/>
        <s v="CUST-1120"/>
        <s v="CUST-1042"/>
        <s v="CUST-1148"/>
        <s v="CUST-1101"/>
        <s v="CUST-1133"/>
        <s v="CUST-1147"/>
        <s v="CUST-1162"/>
        <s v=" CUST-1184 "/>
        <s v="CUST-1128"/>
        <s v="CUST-1048"/>
        <s v="CUST-1029"/>
        <s v=" CUST-1176 "/>
        <s v="CUST-1199"/>
        <s v="CUST-1015"/>
        <s v="CUST-1054"/>
        <s v="CUST-1078"/>
        <s v="CUST-1153"/>
        <s v="CUST-1065"/>
        <s v="CUST-1129"/>
        <s v="CUST-1002"/>
        <s v="CUST-1119"/>
        <s v="CUST-1087"/>
        <s v="CUST-1067"/>
        <s v="CUST-1102"/>
        <s v="CUST-1140"/>
        <s v="CUST-1193"/>
        <s v="CUST-1195"/>
        <s v="CUST-1063"/>
        <s v="CUST-1171"/>
        <s v="CUST-1137"/>
        <s v="CUST-1038"/>
        <s v="CUST-1061"/>
        <s v="CUST-1123"/>
        <s v="CUST-1028"/>
        <s v="CUST-1062"/>
        <s v="CUST-1076"/>
        <s v="CUST-1047"/>
        <s v="CUST-1091"/>
        <s v="CUST-1068"/>
        <s v="CUST-1164"/>
        <s v="CUST-1053"/>
        <s v="CUST-1197"/>
        <s v="CUST-1173"/>
        <s v="CUST-1188"/>
        <s v="CUST-1116"/>
        <s v="CUST-1012"/>
        <s v="CUST-1142"/>
        <s v="CUST-1050"/>
        <s v="CUST-1095"/>
        <s v="CUST-1026"/>
        <s v="CUST-1058"/>
        <s v="CUST-1141"/>
        <s v="CUST-1152"/>
        <s v=" CUST-1038 "/>
        <s v="CUST-1194"/>
        <s v="CUST-1007"/>
        <s v="CUST-1088"/>
        <s v="CUST-1125"/>
        <s v="CUST-1034"/>
        <s v="CUST-1089"/>
        <s v="CUST-1037"/>
        <s v="CUST-1052"/>
        <s v="CUST-1139"/>
        <s v="CUST-1150"/>
        <s v="CUST-1156"/>
        <s v="CUST-1035"/>
        <s v="CUST-1186"/>
        <s v="CUST-1166"/>
        <s v="CUST-1085"/>
        <s v="CUST-1040"/>
        <s v=" CUST-1187 "/>
        <s v="CUST-1131"/>
        <s v=" CUST-1055 "/>
        <s v="CUST-1114"/>
        <s v="CUST-1014"/>
        <s v="CUST-1143"/>
        <s v="CUST-1064"/>
        <s v="CUST-1032"/>
        <s v="CUST-1030"/>
        <s v="CUST-1024"/>
        <s v="CUST-1020"/>
        <s v="CUST-1172"/>
        <s v="CUST-1006"/>
        <s v="CUST-1082"/>
        <s v=" CUST-1059 "/>
        <s v="CUST-1017"/>
        <s v="CUST-1081"/>
        <s v="CUST-1025"/>
        <s v="CUST-1161"/>
        <s v="CUST-1187"/>
        <s v="CUST-1174"/>
        <s v="CUST-1183"/>
        <s v="CUST-1196"/>
        <s v="CUST-1190"/>
        <s v=" CUST-1137 "/>
        <s v="CUST-1010"/>
        <s v="CUST-1144"/>
        <s v=" CUST-1021 "/>
        <s v="CUST-1074"/>
        <s v="CUST-1112"/>
        <s v="CUST-1113"/>
        <s v="CUST-1145"/>
        <s v="CUST-1031"/>
        <s v="CUST-1127"/>
        <s v="CUST-1160"/>
        <s v="CUST-1108"/>
        <s v="CUST-1071"/>
        <s v="CUST-1094"/>
        <s v="CUST-1059"/>
        <s v="CUST-1003"/>
        <s v=" CUST-1155 "/>
        <s v="CUST-1011"/>
        <s v="CUST-1170"/>
        <s v="CUST-1115"/>
        <s v="CUST-1090"/>
        <s v=" CUST-1174 "/>
        <s v="CUST-1198"/>
        <s v="CUST-1124"/>
        <s v="CUST-1154"/>
        <s v="CUST-1073"/>
        <s v="CUST-1080"/>
        <s v="CUST-1151"/>
        <s v="CUST-1168"/>
        <s v="CUST-1056"/>
        <s v="CUST-1177"/>
        <s v="CUST-1189"/>
        <s v="CUST-1158"/>
        <s v="CUST-1122"/>
        <s v="CUST-1100"/>
        <s v="CUST-1098"/>
        <s v=" CUST-1082 "/>
        <s v="CUST-1097"/>
        <s v=" CUST-1189 "/>
        <s v="CUST-1163"/>
        <s v="CUST-1110"/>
        <s v="CUST-1178"/>
        <s v="CUST-1121"/>
        <s v="CUST-1060"/>
        <s v="CUST-1083"/>
        <s v="CUST-1155"/>
        <s v="CUST-1021"/>
        <s v="CUST-1023"/>
        <s v="CUST-1149"/>
        <s v="CUST-1093"/>
        <s v="CUST-1180"/>
        <s v="CUST-1084"/>
        <s v=" CUST-1044 "/>
        <s v=" CUST-1099 "/>
        <s v="CUST-1036"/>
        <s v="CUST-1009"/>
        <s v="CUST-1027"/>
        <s v="CUST-1092"/>
        <s v=" CUST-1186 "/>
        <s v="CUST-1005"/>
        <s v="CUST-1175"/>
        <s v="CUST-1049"/>
        <s v="CUST-1130"/>
        <s v="CUST-1176"/>
        <s v="CUST-1077"/>
        <s v="CUST-1070"/>
        <s v="CUST-1096"/>
        <s v="CUST-1157"/>
        <s v="CUST-1159"/>
        <s v="CUST-1107"/>
        <s v="CUST-1051"/>
        <s v="CUST-1069"/>
        <s v="CUST-1192"/>
        <s v="CUST-1018"/>
        <s v="CUST-1185"/>
        <s v=" CUST-1097 "/>
        <s v="CUST-1033"/>
        <s v=" CUST-1050 "/>
        <s v="CUST-1167"/>
        <s v=" CUST-1105 "/>
        <s v="CUST-1109"/>
        <s v="CUST-1181"/>
        <s v="CUST-1117"/>
        <s v="CUST-1182"/>
        <s v="CUST-1135"/>
        <s v="CUST-1099"/>
        <s v="CUST-1118"/>
        <s v="CUST-1105"/>
        <s v=" CUST-1136 "/>
        <s v="CUST-1126"/>
        <s v=" CUST-1020 "/>
        <s v="CUST-1134"/>
        <s v=" CUST-1077 "/>
        <s v="CUST-1041"/>
        <s v="CUST-1043"/>
        <s v="CUST-1169"/>
        <s v="CUST-1008"/>
        <s v="CUST-1106"/>
        <s v="CUST-1045"/>
        <s v=" CUST-1017 "/>
        <s v=" CUST-1093 "/>
        <s v="CUST-1066"/>
        <s v="CUST-1019"/>
        <s v="CUST-1004"/>
        <s v="CUST-1079"/>
        <s v=" CUST-1131 "/>
        <s v=" CUST-1108 "/>
        <s v=" CUST-1198 "/>
        <s v=" CUST-1172 "/>
        <s v="CUST-1055"/>
        <s v=" CUST-1171 "/>
        <s v=" CUST-1181 "/>
        <s v=" CUST-1175 "/>
      </sharedItems>
    </cacheField>
    <cacheField name="StoreID" numFmtId="49">
      <sharedItems containsBlank="1" count="10">
        <s v="Unknown"/>
        <s v="STO-01"/>
        <s v="STO-03"/>
        <s v="STO-02"/>
        <s v="STO-04"/>
        <s v=" STO-01 "/>
        <s v=" STO-02 "/>
        <s v=" STO-03 "/>
        <s v=" STO-04 "/>
        <m/>
      </sharedItems>
    </cacheField>
    <cacheField name="EmployeeID" numFmtId="49">
      <sharedItems/>
    </cacheField>
    <cacheField name="PromotionID" numFmtId="49">
      <sharedItems/>
    </cacheField>
    <cacheField name="PaymentMethod" numFmtId="49">
      <sharedItems/>
    </cacheField>
    <cacheField name="TotalAmount" numFmtId="2">
      <sharedItems containsSemiMixedTypes="0" containsString="0" containsNumber="1" minValue="42.5" maxValue="960"/>
    </cacheField>
    <cacheField name="date" numFmtId="14">
      <sharedItems/>
    </cacheField>
    <cacheField name="month" numFmtId="0">
      <sharedItems containsSemiMixedTypes="0" containsString="0" containsNumber="1" containsInteger="1" minValue="1" maxValue="12" count="12">
        <n v="1"/>
        <n v="2"/>
        <n v="3"/>
        <n v="4"/>
        <n v="5"/>
        <n v="6"/>
        <n v="7"/>
        <n v="8"/>
        <n v="9"/>
        <n v="10"/>
        <n v="11"/>
        <n v="12"/>
      </sharedItems>
    </cacheField>
    <cacheField name="season" numFmtId="0">
      <sharedItems count="6">
        <s v="Makar Sankranti"/>
        <s v="Regular"/>
        <s v="Holi"/>
        <s v="Rakshabandhan"/>
        <s v="Navratri"/>
        <s v="Diwali"/>
      </sharedItems>
    </cacheField>
    <cacheField name="promo_flag" numFmtId="0">
      <sharedItems count="2">
        <s v="Promoted"/>
        <s v="Not Promoted"/>
      </sharedItems>
    </cacheField>
    <cacheField name="Employee_Known_Flag" numFmtId="0">
      <sharedItems/>
    </cacheField>
    <cacheField name="Cust_Visit_Count"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7861735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oj" refreshedDate="46047.736515046294" backgroundQuery="1" createdVersion="8" refreshedVersion="8" minRefreshableVersion="3" recordCount="0" supportSubquery="1" supportAdvancedDrill="1" xr:uid="{939C9E10-4890-4112-9331-9D25822EF8C1}">
  <cacheSource type="external" connectionId="1"/>
  <cacheFields count="1">
    <cacheField name="[Measures].[Sum of TotalAmount]" caption="Sum of TotalAmount" numFmtId="0" hierarchy="33" level="32767"/>
  </cacheFields>
  <cacheHierarchies count="37">
    <cacheHierarchy uniqueName="[Range].[TransactionID]" caption="TransactionID" attribute="1" defaultMemberUniqueName="[Range].[TransactionID].[All]" allUniqueName="[Range].[Transaction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StoreID]" caption="StoreID" attribute="1" defaultMemberUniqueName="[Range].[StoreID].[All]" allUniqueName="[Range].[StoreID].[All]" dimensionUniqueName="[Range]" displayFolder="" count="0" memberValueDatatype="130" unbalanced="0"/>
    <cacheHierarchy uniqueName="[Range].[EmployeeID]" caption="EmployeeID" attribute="1" defaultMemberUniqueName="[Range].[EmployeeID].[All]" allUniqueName="[Range].[EmployeeID].[All]" dimensionUniqueName="[Range]" displayFolder="" count="0" memberValueDatatype="130" unbalanced="0"/>
    <cacheHierarchy uniqueName="[Range].[PromotionID]" caption="PromotionID" attribute="1" defaultMemberUniqueName="[Range].[PromotionID].[All]" allUniqueName="[Range].[PromotionID].[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TotalAmount]" caption="TotalAmount" attribute="1" defaultMemberUniqueName="[Range].[TotalAmount].[All]" allUniqueName="[Range].[TotalAmount].[All]" dimensionUniqueName="[Range]" displayFolder="" count="0" memberValueDatatype="5" unbalanced="0"/>
    <cacheHierarchy uniqueName="[Range].[date]" caption="date" attribute="1" defaultMemberUniqueName="[Range].[date].[All]" allUniqueName="[Range].[date].[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season]" caption="season" attribute="1" defaultMemberUniqueName="[Range].[season].[All]" allUniqueName="[Range].[season].[All]" dimensionUniqueName="[Range]" displayFolder="" count="0" memberValueDatatype="130" unbalanced="0"/>
    <cacheHierarchy uniqueName="[Range].[promo_flag]" caption="promo_flag" attribute="1" defaultMemberUniqueName="[Range].[promo_flag].[All]" allUniqueName="[Range].[promo_flag].[All]" dimensionUniqueName="[Range]" displayFolder="" count="0" memberValueDatatype="130" unbalanced="0"/>
    <cacheHierarchy uniqueName="[Range].[Employee_Known_Flag]" caption="Employee_Known_Flag" attribute="1" defaultMemberUniqueName="[Range].[Employee_Known_Flag].[All]" allUniqueName="[Range].[Employee_Known_Flag].[All]" dimensionUniqueName="[Range]" displayFolder="" count="0" memberValueDatatype="130" unbalanced="0"/>
    <cacheHierarchy uniqueName="[Range].[Cust_Visit_Count]" caption="Cust_Visit_Count" attribute="1" defaultMemberUniqueName="[Range].[Cust_Visit_Count].[All]" allUniqueName="[Range].[Cust_Visit_Count].[All]" dimensionUniqueName="[Range]" displayFolder="" count="0" memberValueDatatype="20" unbalanced="0"/>
    <cacheHierarchy uniqueName="[Range 1].[TransactionID]" caption="TransactionID" attribute="1" defaultMemberUniqueName="[Range 1].[TransactionID].[All]" allUniqueName="[Range 1].[Transaction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StoreID]" caption="StoreID" attribute="1" defaultMemberUniqueName="[Range 1].[StoreID].[All]" allUniqueName="[Range 1].[StoreID].[All]" dimensionUniqueName="[Range 1]"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PromotionID]" caption="PromotionID" attribute="1" defaultMemberUniqueName="[Range 1].[PromotionID].[All]" allUniqueName="[Range 1].[PromotionID].[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month]" caption="month" attribute="1" defaultMemberUniqueName="[Range 1].[month].[All]" allUniqueName="[Range 1].[month].[All]" dimensionUniqueName="[Range 1]" displayFolder="" count="0" memberValueDatatype="20" unbalanced="0"/>
    <cacheHierarchy uniqueName="[Range 1].[season]" caption="season" attribute="1" defaultMemberUniqueName="[Range 1].[season].[All]" allUniqueName="[Range 1].[season].[All]" dimensionUniqueName="[Range 1]" displayFolder="" count="0" memberValueDatatype="130" unbalanced="0"/>
    <cacheHierarchy uniqueName="[Range 1].[promo_flag]" caption="promo_flag" attribute="1" defaultMemberUniqueName="[Range 1].[promo_flag].[All]" allUniqueName="[Range 1].[promo_flag].[All]" dimensionUniqueName="[Range 1]" displayFolder="" count="0" memberValueDatatype="130" unbalanced="0"/>
    <cacheHierarchy uniqueName="[Range 1].[Employee_Known_Flag]" caption="Employee_Known_Flag" attribute="1" defaultMemberUniqueName="[Range 1].[Employee_Known_Flag].[All]" allUniqueName="[Range 1].[Employee_Known_Flag].[All]" dimensionUniqueName="[Range 1]" displayFolder="" count="0" memberValueDatatype="130" unbalanced="0"/>
    <cacheHierarchy uniqueName="[Range 1].[Cust_Visit_Count]" caption="Cust_Visit_Count" attribute="1" defaultMemberUniqueName="[Range 1].[Cust_Visit_Count].[All]" allUniqueName="[Range 1].[Cust_Visit_Count].[All]" dimensionUniqueName="[Range 1]" displayFolder="" count="0" memberValueDatatype="20" unbalanced="0"/>
    <cacheHierarchy uniqueName="[Range 1].[Month name]" caption="Month name" attribute="1" defaultMemberUniqueName="[Range 1].[Month name].[All]" allUniqueName="[Range 1].[Month name].[All]" dimensionUniqueName="[Range 1]" displayFolder="" count="0" memberValueDatatype="130" unbalanced="0"/>
    <cacheHierarchy uniqueName="[Range 1].[Rank]" caption="Rank" attribute="1" defaultMemberUniqueName="[Range 1].[Rank].[All]" allUniqueName="[Range 1].[Rank].[All]" dimensionUniqueName="[Range 1]" displayFolder="" count="0" memberValueDatatype="20" unbalanced="0"/>
    <cacheHierarchy uniqueName="[Range 1].[Group]" caption="Group" attribute="1" defaultMemberUniqueName="[Range 1].[Group].[All]" allUniqueName="[Range 1].[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ID]" caption="Count of StoreID" measure="1" displayFolder="" measureGroup="Range" count="0" hidden="1">
      <extLst>
        <ext xmlns:x15="http://schemas.microsoft.com/office/spreadsheetml/2010/11/main" uri="{B97F6D7D-B522-45F9-BDA1-12C45D357490}">
          <x15:cacheHierarchy aggregatedColumn="2"/>
        </ext>
      </extLst>
    </cacheHierarchy>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TransactionID]" caption="Count of TransactionID" measure="1" displayFolder="" measureGroup="Range" count="0" hidden="1">
      <extLst>
        <ext xmlns:x15="http://schemas.microsoft.com/office/spreadsheetml/2010/11/main" uri="{B97F6D7D-B522-45F9-BDA1-12C45D357490}">
          <x15:cacheHierarchy aggregatedColumn="0"/>
        </ext>
      </extLst>
    </cacheHierarchy>
    <cacheHierarchy uniqueName="[Measures].[Average of TotalAmount]" caption="Average of TotalAmount" measure="1" displayFolder="" measureGroup="Range" count="0" hidden="1">
      <extLst>
        <ext xmlns:x15="http://schemas.microsoft.com/office/spreadsheetml/2010/11/main" uri="{B97F6D7D-B522-45F9-BDA1-12C45D357490}">
          <x15:cacheHierarchy aggregatedColumn="6"/>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oj" refreshedDate="46047.736521296298" backgroundQuery="1" createdVersion="8" refreshedVersion="8" minRefreshableVersion="3" recordCount="0" supportSubquery="1" supportAdvancedDrill="1" xr:uid="{72F9B254-1982-4F80-8A07-9C244DF458EF}">
  <cacheSource type="external" connectionId="1"/>
  <cacheFields count="2">
    <cacheField name="[Range].[Employee_Known_Flag].[Employee_Known_Flag]" caption="Employee_Known_Flag" numFmtId="0" hierarchy="11" level="1">
      <sharedItems count="2">
        <s v="Known Employee"/>
        <s v="UnKnown Employee"/>
      </sharedItems>
    </cacheField>
    <cacheField name="[Measures].[Sum of TotalAmount]" caption="Sum of TotalAmount" numFmtId="0" hierarchy="33" level="32767"/>
  </cacheFields>
  <cacheHierarchies count="37">
    <cacheHierarchy uniqueName="[Range].[TransactionID]" caption="TransactionID" attribute="1" defaultMemberUniqueName="[Range].[TransactionID].[All]" allUniqueName="[Range].[Transaction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StoreID]" caption="StoreID" attribute="1" defaultMemberUniqueName="[Range].[StoreID].[All]" allUniqueName="[Range].[StoreID].[All]" dimensionUniqueName="[Range]" displayFolder="" count="0" memberValueDatatype="130" unbalanced="0"/>
    <cacheHierarchy uniqueName="[Range].[EmployeeID]" caption="EmployeeID" attribute="1" defaultMemberUniqueName="[Range].[EmployeeID].[All]" allUniqueName="[Range].[EmployeeID].[All]" dimensionUniqueName="[Range]" displayFolder="" count="0" memberValueDatatype="130" unbalanced="0"/>
    <cacheHierarchy uniqueName="[Range].[PromotionID]" caption="PromotionID" attribute="1" defaultMemberUniqueName="[Range].[PromotionID].[All]" allUniqueName="[Range].[PromotionID].[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TotalAmount]" caption="TotalAmount" attribute="1" defaultMemberUniqueName="[Range].[TotalAmount].[All]" allUniqueName="[Range].[TotalAmount].[All]" dimensionUniqueName="[Range]" displayFolder="" count="0" memberValueDatatype="5" unbalanced="0"/>
    <cacheHierarchy uniqueName="[Range].[date]" caption="date" attribute="1" defaultMemberUniqueName="[Range].[date].[All]" allUniqueName="[Range].[date].[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season]" caption="season" attribute="1" defaultMemberUniqueName="[Range].[season].[All]" allUniqueName="[Range].[season].[All]" dimensionUniqueName="[Range]" displayFolder="" count="0" memberValueDatatype="130" unbalanced="0"/>
    <cacheHierarchy uniqueName="[Range].[promo_flag]" caption="promo_flag" attribute="1" defaultMemberUniqueName="[Range].[promo_flag].[All]" allUniqueName="[Range].[promo_flag].[All]" dimensionUniqueName="[Range]" displayFolder="" count="0" memberValueDatatype="130" unbalanced="0"/>
    <cacheHierarchy uniqueName="[Range].[Employee_Known_Flag]" caption="Employee_Known_Flag" attribute="1" defaultMemberUniqueName="[Range].[Employee_Known_Flag].[All]" allUniqueName="[Range].[Employee_Known_Flag].[All]" dimensionUniqueName="[Range]" displayFolder="" count="2" memberValueDatatype="130" unbalanced="0">
      <fieldsUsage count="2">
        <fieldUsage x="-1"/>
        <fieldUsage x="0"/>
      </fieldsUsage>
    </cacheHierarchy>
    <cacheHierarchy uniqueName="[Range].[Cust_Visit_Count]" caption="Cust_Visit_Count" attribute="1" defaultMemberUniqueName="[Range].[Cust_Visit_Count].[All]" allUniqueName="[Range].[Cust_Visit_Count].[All]" dimensionUniqueName="[Range]" displayFolder="" count="0" memberValueDatatype="20" unbalanced="0"/>
    <cacheHierarchy uniqueName="[Range 1].[TransactionID]" caption="TransactionID" attribute="1" defaultMemberUniqueName="[Range 1].[TransactionID].[All]" allUniqueName="[Range 1].[Transaction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StoreID]" caption="StoreID" attribute="1" defaultMemberUniqueName="[Range 1].[StoreID].[All]" allUniqueName="[Range 1].[StoreID].[All]" dimensionUniqueName="[Range 1]"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PromotionID]" caption="PromotionID" attribute="1" defaultMemberUniqueName="[Range 1].[PromotionID].[All]" allUniqueName="[Range 1].[PromotionID].[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month]" caption="month" attribute="1" defaultMemberUniqueName="[Range 1].[month].[All]" allUniqueName="[Range 1].[month].[All]" dimensionUniqueName="[Range 1]" displayFolder="" count="0" memberValueDatatype="20" unbalanced="0"/>
    <cacheHierarchy uniqueName="[Range 1].[season]" caption="season" attribute="1" defaultMemberUniqueName="[Range 1].[season].[All]" allUniqueName="[Range 1].[season].[All]" dimensionUniqueName="[Range 1]" displayFolder="" count="0" memberValueDatatype="130" unbalanced="0"/>
    <cacheHierarchy uniqueName="[Range 1].[promo_flag]" caption="promo_flag" attribute="1" defaultMemberUniqueName="[Range 1].[promo_flag].[All]" allUniqueName="[Range 1].[promo_flag].[All]" dimensionUniqueName="[Range 1]" displayFolder="" count="0" memberValueDatatype="130" unbalanced="0"/>
    <cacheHierarchy uniqueName="[Range 1].[Employee_Known_Flag]" caption="Employee_Known_Flag" attribute="1" defaultMemberUniqueName="[Range 1].[Employee_Known_Flag].[All]" allUniqueName="[Range 1].[Employee_Known_Flag].[All]" dimensionUniqueName="[Range 1]" displayFolder="" count="0" memberValueDatatype="130" unbalanced="0"/>
    <cacheHierarchy uniqueName="[Range 1].[Cust_Visit_Count]" caption="Cust_Visit_Count" attribute="1" defaultMemberUniqueName="[Range 1].[Cust_Visit_Count].[All]" allUniqueName="[Range 1].[Cust_Visit_Count].[All]" dimensionUniqueName="[Range 1]" displayFolder="" count="0" memberValueDatatype="20" unbalanced="0"/>
    <cacheHierarchy uniqueName="[Range 1].[Month name]" caption="Month name" attribute="1" defaultMemberUniqueName="[Range 1].[Month name].[All]" allUniqueName="[Range 1].[Month name].[All]" dimensionUniqueName="[Range 1]" displayFolder="" count="0" memberValueDatatype="130" unbalanced="0"/>
    <cacheHierarchy uniqueName="[Range 1].[Rank]" caption="Rank" attribute="1" defaultMemberUniqueName="[Range 1].[Rank].[All]" allUniqueName="[Range 1].[Rank].[All]" dimensionUniqueName="[Range 1]" displayFolder="" count="0" memberValueDatatype="20" unbalanced="0"/>
    <cacheHierarchy uniqueName="[Range 1].[Group]" caption="Group" attribute="1" defaultMemberUniqueName="[Range 1].[Group].[All]" allUniqueName="[Range 1].[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ID]" caption="Count of StoreID" measure="1" displayFolder="" measureGroup="Range" count="0" hidden="1">
      <extLst>
        <ext xmlns:x15="http://schemas.microsoft.com/office/spreadsheetml/2010/11/main" uri="{B97F6D7D-B522-45F9-BDA1-12C45D357490}">
          <x15:cacheHierarchy aggregatedColumn="2"/>
        </ext>
      </extLst>
    </cacheHierarchy>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TransactionID]" caption="Count of TransactionID" measure="1" displayFolder="" measureGroup="Range" count="0" hidden="1">
      <extLst>
        <ext xmlns:x15="http://schemas.microsoft.com/office/spreadsheetml/2010/11/main" uri="{B97F6D7D-B522-45F9-BDA1-12C45D357490}">
          <x15:cacheHierarchy aggregatedColumn="0"/>
        </ext>
      </extLst>
    </cacheHierarchy>
    <cacheHierarchy uniqueName="[Measures].[Average of TotalAmount]" caption="Average of TotalAmount" measure="1" displayFolder="" measureGroup="Range" count="0" hidden="1">
      <extLst>
        <ext xmlns:x15="http://schemas.microsoft.com/office/spreadsheetml/2010/11/main" uri="{B97F6D7D-B522-45F9-BDA1-12C45D357490}">
          <x15:cacheHierarchy aggregatedColumn="6"/>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oj" refreshedDate="46047.736519675927" backgroundQuery="1" createdVersion="8" refreshedVersion="8" minRefreshableVersion="3" recordCount="0" supportSubquery="1" supportAdvancedDrill="1" xr:uid="{DAA0BDFC-9DE0-41F6-AFE8-D3497214978D}">
  <cacheSource type="external" connectionId="1"/>
  <cacheFields count="2">
    <cacheField name="[Range].[promo_flag].[promo_flag]" caption="promo_flag" numFmtId="0" hierarchy="10" level="1">
      <sharedItems count="2">
        <s v="Not Promoted"/>
        <s v="Promoted"/>
      </sharedItems>
    </cacheField>
    <cacheField name="[Measures].[Sum of TotalAmount]" caption="Sum of TotalAmount" numFmtId="0" hierarchy="33" level="32767"/>
  </cacheFields>
  <cacheHierarchies count="37">
    <cacheHierarchy uniqueName="[Range].[TransactionID]" caption="TransactionID" attribute="1" defaultMemberUniqueName="[Range].[TransactionID].[All]" allUniqueName="[Range].[Transaction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StoreID]" caption="StoreID" attribute="1" defaultMemberUniqueName="[Range].[StoreID].[All]" allUniqueName="[Range].[StoreID].[All]" dimensionUniqueName="[Range]" displayFolder="" count="0" memberValueDatatype="130" unbalanced="0"/>
    <cacheHierarchy uniqueName="[Range].[EmployeeID]" caption="EmployeeID" attribute="1" defaultMemberUniqueName="[Range].[EmployeeID].[All]" allUniqueName="[Range].[EmployeeID].[All]" dimensionUniqueName="[Range]" displayFolder="" count="0" memberValueDatatype="130" unbalanced="0"/>
    <cacheHierarchy uniqueName="[Range].[PromotionID]" caption="PromotionID" attribute="1" defaultMemberUniqueName="[Range].[PromotionID].[All]" allUniqueName="[Range].[PromotionID].[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TotalAmount]" caption="TotalAmount" attribute="1" defaultMemberUniqueName="[Range].[TotalAmount].[All]" allUniqueName="[Range].[TotalAmount].[All]" dimensionUniqueName="[Range]" displayFolder="" count="0" memberValueDatatype="5" unbalanced="0"/>
    <cacheHierarchy uniqueName="[Range].[date]" caption="date" attribute="1" defaultMemberUniqueName="[Range].[date].[All]" allUniqueName="[Range].[date].[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season]" caption="season" attribute="1" defaultMemberUniqueName="[Range].[season].[All]" allUniqueName="[Range].[season].[All]" dimensionUniqueName="[Range]" displayFolder="" count="0" memberValueDatatype="130" unbalanced="0"/>
    <cacheHierarchy uniqueName="[Range].[promo_flag]" caption="promo_flag" attribute="1" defaultMemberUniqueName="[Range].[promo_flag].[All]" allUniqueName="[Range].[promo_flag].[All]" dimensionUniqueName="[Range]" displayFolder="" count="2" memberValueDatatype="130" unbalanced="0">
      <fieldsUsage count="2">
        <fieldUsage x="-1"/>
        <fieldUsage x="0"/>
      </fieldsUsage>
    </cacheHierarchy>
    <cacheHierarchy uniqueName="[Range].[Employee_Known_Flag]" caption="Employee_Known_Flag" attribute="1" defaultMemberUniqueName="[Range].[Employee_Known_Flag].[All]" allUniqueName="[Range].[Employee_Known_Flag].[All]" dimensionUniqueName="[Range]" displayFolder="" count="0" memberValueDatatype="130" unbalanced="0"/>
    <cacheHierarchy uniqueName="[Range].[Cust_Visit_Count]" caption="Cust_Visit_Count" attribute="1" defaultMemberUniqueName="[Range].[Cust_Visit_Count].[All]" allUniqueName="[Range].[Cust_Visit_Count].[All]" dimensionUniqueName="[Range]" displayFolder="" count="0" memberValueDatatype="20" unbalanced="0"/>
    <cacheHierarchy uniqueName="[Range 1].[TransactionID]" caption="TransactionID" attribute="1" defaultMemberUniqueName="[Range 1].[TransactionID].[All]" allUniqueName="[Range 1].[Transaction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StoreID]" caption="StoreID" attribute="1" defaultMemberUniqueName="[Range 1].[StoreID].[All]" allUniqueName="[Range 1].[StoreID].[All]" dimensionUniqueName="[Range 1]"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PromotionID]" caption="PromotionID" attribute="1" defaultMemberUniqueName="[Range 1].[PromotionID].[All]" allUniqueName="[Range 1].[PromotionID].[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month]" caption="month" attribute="1" defaultMemberUniqueName="[Range 1].[month].[All]" allUniqueName="[Range 1].[month].[All]" dimensionUniqueName="[Range 1]" displayFolder="" count="0" memberValueDatatype="20" unbalanced="0"/>
    <cacheHierarchy uniqueName="[Range 1].[season]" caption="season" attribute="1" defaultMemberUniqueName="[Range 1].[season].[All]" allUniqueName="[Range 1].[season].[All]" dimensionUniqueName="[Range 1]" displayFolder="" count="0" memberValueDatatype="130" unbalanced="0"/>
    <cacheHierarchy uniqueName="[Range 1].[promo_flag]" caption="promo_flag" attribute="1" defaultMemberUniqueName="[Range 1].[promo_flag].[All]" allUniqueName="[Range 1].[promo_flag].[All]" dimensionUniqueName="[Range 1]" displayFolder="" count="0" memberValueDatatype="130" unbalanced="0"/>
    <cacheHierarchy uniqueName="[Range 1].[Employee_Known_Flag]" caption="Employee_Known_Flag" attribute="1" defaultMemberUniqueName="[Range 1].[Employee_Known_Flag].[All]" allUniqueName="[Range 1].[Employee_Known_Flag].[All]" dimensionUniqueName="[Range 1]" displayFolder="" count="0" memberValueDatatype="130" unbalanced="0"/>
    <cacheHierarchy uniqueName="[Range 1].[Cust_Visit_Count]" caption="Cust_Visit_Count" attribute="1" defaultMemberUniqueName="[Range 1].[Cust_Visit_Count].[All]" allUniqueName="[Range 1].[Cust_Visit_Count].[All]" dimensionUniqueName="[Range 1]" displayFolder="" count="0" memberValueDatatype="20" unbalanced="0"/>
    <cacheHierarchy uniqueName="[Range 1].[Month name]" caption="Month name" attribute="1" defaultMemberUniqueName="[Range 1].[Month name].[All]" allUniqueName="[Range 1].[Month name].[All]" dimensionUniqueName="[Range 1]" displayFolder="" count="0" memberValueDatatype="130" unbalanced="0"/>
    <cacheHierarchy uniqueName="[Range 1].[Rank]" caption="Rank" attribute="1" defaultMemberUniqueName="[Range 1].[Rank].[All]" allUniqueName="[Range 1].[Rank].[All]" dimensionUniqueName="[Range 1]" displayFolder="" count="0" memberValueDatatype="20" unbalanced="0"/>
    <cacheHierarchy uniqueName="[Range 1].[Group]" caption="Group" attribute="1" defaultMemberUniqueName="[Range 1].[Group].[All]" allUniqueName="[Range 1].[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ID]" caption="Count of StoreID" measure="1" displayFolder="" measureGroup="Range" count="0" hidden="1">
      <extLst>
        <ext xmlns:x15="http://schemas.microsoft.com/office/spreadsheetml/2010/11/main" uri="{B97F6D7D-B522-45F9-BDA1-12C45D357490}">
          <x15:cacheHierarchy aggregatedColumn="2"/>
        </ext>
      </extLst>
    </cacheHierarchy>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TransactionID]" caption="Count of TransactionID" measure="1" displayFolder="" measureGroup="Range" count="0" hidden="1">
      <extLst>
        <ext xmlns:x15="http://schemas.microsoft.com/office/spreadsheetml/2010/11/main" uri="{B97F6D7D-B522-45F9-BDA1-12C45D357490}">
          <x15:cacheHierarchy aggregatedColumn="0"/>
        </ext>
      </extLst>
    </cacheHierarchy>
    <cacheHierarchy uniqueName="[Measures].[Average of TotalAmount]" caption="Average of TotalAmount" measure="1" displayFolder="" measureGroup="Range" count="0" hidden="1">
      <extLst>
        <ext xmlns:x15="http://schemas.microsoft.com/office/spreadsheetml/2010/11/main" uri="{B97F6D7D-B522-45F9-BDA1-12C45D357490}">
          <x15:cacheHierarchy aggregatedColumn="6"/>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oj" refreshedDate="46047.736516435187" backgroundQuery="1" createdVersion="8" refreshedVersion="8" minRefreshableVersion="3" recordCount="0" supportSubquery="1" supportAdvancedDrill="1" xr:uid="{1132496B-4ED0-4D7E-B527-6A8F1B8A294F}">
  <cacheSource type="external" connectionId="1"/>
  <cacheFields count="3">
    <cacheField name="[Range].[promo_flag].[promo_flag]" caption="promo_flag" numFmtId="0" hierarchy="10" level="1">
      <sharedItems count="2">
        <s v="Not Promoted"/>
        <s v="Promoted"/>
      </sharedItems>
    </cacheField>
    <cacheField name="[Measures].[Sum of TotalAmount]" caption="Sum of TotalAmount" numFmtId="0" hierarchy="33" level="32767"/>
    <cacheField name="[Measures].[Average of TotalAmount]" caption="Average of TotalAmount" numFmtId="0" hierarchy="35" level="32767"/>
  </cacheFields>
  <cacheHierarchies count="37">
    <cacheHierarchy uniqueName="[Range].[TransactionID]" caption="TransactionID" attribute="1" defaultMemberUniqueName="[Range].[TransactionID].[All]" allUniqueName="[Range].[Transaction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StoreID]" caption="StoreID" attribute="1" defaultMemberUniqueName="[Range].[StoreID].[All]" allUniqueName="[Range].[StoreID].[All]" dimensionUniqueName="[Range]" displayFolder="" count="0" memberValueDatatype="130" unbalanced="0"/>
    <cacheHierarchy uniqueName="[Range].[EmployeeID]" caption="EmployeeID" attribute="1" defaultMemberUniqueName="[Range].[EmployeeID].[All]" allUniqueName="[Range].[EmployeeID].[All]" dimensionUniqueName="[Range]" displayFolder="" count="0" memberValueDatatype="130" unbalanced="0"/>
    <cacheHierarchy uniqueName="[Range].[PromotionID]" caption="PromotionID" attribute="1" defaultMemberUniqueName="[Range].[PromotionID].[All]" allUniqueName="[Range].[PromotionID].[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TotalAmount]" caption="TotalAmount" attribute="1" defaultMemberUniqueName="[Range].[TotalAmount].[All]" allUniqueName="[Range].[TotalAmount].[All]" dimensionUniqueName="[Range]" displayFolder="" count="0" memberValueDatatype="5" unbalanced="0"/>
    <cacheHierarchy uniqueName="[Range].[date]" caption="date" attribute="1" defaultMemberUniqueName="[Range].[date].[All]" allUniqueName="[Range].[date].[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season]" caption="season" attribute="1" defaultMemberUniqueName="[Range].[season].[All]" allUniqueName="[Range].[season].[All]" dimensionUniqueName="[Range]" displayFolder="" count="0" memberValueDatatype="130" unbalanced="0"/>
    <cacheHierarchy uniqueName="[Range].[promo_flag]" caption="promo_flag" attribute="1" defaultMemberUniqueName="[Range].[promo_flag].[All]" allUniqueName="[Range].[promo_flag].[All]" dimensionUniqueName="[Range]" displayFolder="" count="2" memberValueDatatype="130" unbalanced="0">
      <fieldsUsage count="2">
        <fieldUsage x="-1"/>
        <fieldUsage x="0"/>
      </fieldsUsage>
    </cacheHierarchy>
    <cacheHierarchy uniqueName="[Range].[Employee_Known_Flag]" caption="Employee_Known_Flag" attribute="1" defaultMemberUniqueName="[Range].[Employee_Known_Flag].[All]" allUniqueName="[Range].[Employee_Known_Flag].[All]" dimensionUniqueName="[Range]" displayFolder="" count="0" memberValueDatatype="130" unbalanced="0"/>
    <cacheHierarchy uniqueName="[Range].[Cust_Visit_Count]" caption="Cust_Visit_Count" attribute="1" defaultMemberUniqueName="[Range].[Cust_Visit_Count].[All]" allUniqueName="[Range].[Cust_Visit_Count].[All]" dimensionUniqueName="[Range]" displayFolder="" count="0" memberValueDatatype="20" unbalanced="0"/>
    <cacheHierarchy uniqueName="[Range 1].[TransactionID]" caption="TransactionID" attribute="1" defaultMemberUniqueName="[Range 1].[TransactionID].[All]" allUniqueName="[Range 1].[Transaction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StoreID]" caption="StoreID" attribute="1" defaultMemberUniqueName="[Range 1].[StoreID].[All]" allUniqueName="[Range 1].[StoreID].[All]" dimensionUniqueName="[Range 1]"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PromotionID]" caption="PromotionID" attribute="1" defaultMemberUniqueName="[Range 1].[PromotionID].[All]" allUniqueName="[Range 1].[PromotionID].[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month]" caption="month" attribute="1" defaultMemberUniqueName="[Range 1].[month].[All]" allUniqueName="[Range 1].[month].[All]" dimensionUniqueName="[Range 1]" displayFolder="" count="0" memberValueDatatype="20" unbalanced="0"/>
    <cacheHierarchy uniqueName="[Range 1].[season]" caption="season" attribute="1" defaultMemberUniqueName="[Range 1].[season].[All]" allUniqueName="[Range 1].[season].[All]" dimensionUniqueName="[Range 1]" displayFolder="" count="0" memberValueDatatype="130" unbalanced="0"/>
    <cacheHierarchy uniqueName="[Range 1].[promo_flag]" caption="promo_flag" attribute="1" defaultMemberUniqueName="[Range 1].[promo_flag].[All]" allUniqueName="[Range 1].[promo_flag].[All]" dimensionUniqueName="[Range 1]" displayFolder="" count="0" memberValueDatatype="130" unbalanced="0"/>
    <cacheHierarchy uniqueName="[Range 1].[Employee_Known_Flag]" caption="Employee_Known_Flag" attribute="1" defaultMemberUniqueName="[Range 1].[Employee_Known_Flag].[All]" allUniqueName="[Range 1].[Employee_Known_Flag].[All]" dimensionUniqueName="[Range 1]" displayFolder="" count="0" memberValueDatatype="130" unbalanced="0"/>
    <cacheHierarchy uniqueName="[Range 1].[Cust_Visit_Count]" caption="Cust_Visit_Count" attribute="1" defaultMemberUniqueName="[Range 1].[Cust_Visit_Count].[All]" allUniqueName="[Range 1].[Cust_Visit_Count].[All]" dimensionUniqueName="[Range 1]" displayFolder="" count="0" memberValueDatatype="20" unbalanced="0"/>
    <cacheHierarchy uniqueName="[Range 1].[Month name]" caption="Month name" attribute="1" defaultMemberUniqueName="[Range 1].[Month name].[All]" allUniqueName="[Range 1].[Month name].[All]" dimensionUniqueName="[Range 1]" displayFolder="" count="0" memberValueDatatype="130" unbalanced="0"/>
    <cacheHierarchy uniqueName="[Range 1].[Rank]" caption="Rank" attribute="1" defaultMemberUniqueName="[Range 1].[Rank].[All]" allUniqueName="[Range 1].[Rank].[All]" dimensionUniqueName="[Range 1]" displayFolder="" count="0" memberValueDatatype="20" unbalanced="0"/>
    <cacheHierarchy uniqueName="[Range 1].[Group]" caption="Group" attribute="1" defaultMemberUniqueName="[Range 1].[Group].[All]" allUniqueName="[Range 1].[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ID]" caption="Count of StoreID" measure="1" displayFolder="" measureGroup="Range" count="0" hidden="1">
      <extLst>
        <ext xmlns:x15="http://schemas.microsoft.com/office/spreadsheetml/2010/11/main" uri="{B97F6D7D-B522-45F9-BDA1-12C45D357490}">
          <x15:cacheHierarchy aggregatedColumn="2"/>
        </ext>
      </extLst>
    </cacheHierarchy>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TransactionID]" caption="Count of TransactionID" measure="1" displayFolder="" measureGroup="Range" count="0" hidden="1">
      <extLst>
        <ext xmlns:x15="http://schemas.microsoft.com/office/spreadsheetml/2010/11/main" uri="{B97F6D7D-B522-45F9-BDA1-12C45D357490}">
          <x15:cacheHierarchy aggregatedColumn="0"/>
        </ext>
      </extLst>
    </cacheHierarchy>
    <cacheHierarchy uniqueName="[Measures].[Average of TotalAmount]" caption="Average of TotalAmount"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oj" refreshedDate="46047.742650925924" backgroundQuery="1" createdVersion="8" refreshedVersion="8" minRefreshableVersion="3" recordCount="0" supportSubquery="1" supportAdvancedDrill="1" xr:uid="{0172C964-A9B5-4648-937D-5871B5CA01C4}">
  <cacheSource type="external" connectionId="1"/>
  <cacheFields count="3">
    <cacheField name="[Range].[StoreID].[StoreID]" caption="StoreID" numFmtId="0" hierarchy="2" level="1">
      <sharedItems containsBlank="1" count="10">
        <m/>
        <s v=" STO-01"/>
        <s v=" STO-02"/>
        <s v=" STO-03"/>
        <s v=" STO-04"/>
        <s v="STO-01"/>
        <s v="STO-02"/>
        <s v="STO-03"/>
        <s v="STO-04"/>
        <s v="Unknown"/>
      </sharedItems>
    </cacheField>
    <cacheField name="[Measures].[Sum of TotalAmount 2]" caption="Sum of TotalAmount 2" numFmtId="0" hierarchy="36" level="32767"/>
    <cacheField name="[Range 1].[StoreID].[StoreID]" caption="StoreID" numFmtId="0" hierarchy="15" level="1">
      <sharedItems count="9">
        <s v=" STO-01"/>
        <s v=" STO-02"/>
        <s v=" STO-03"/>
        <s v=" STO-04"/>
        <s v="STO-01"/>
        <s v="STO-02"/>
        <s v="STO-03"/>
        <s v="STO-04"/>
        <s v="Unknown"/>
      </sharedItems>
    </cacheField>
  </cacheFields>
  <cacheHierarchies count="37">
    <cacheHierarchy uniqueName="[Range].[TransactionID]" caption="TransactionID" attribute="1" defaultMemberUniqueName="[Range].[TransactionID].[All]" allUniqueName="[Range].[Transaction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StoreID]" caption="StoreID" attribute="1" defaultMemberUniqueName="[Range].[StoreID].[All]" allUniqueName="[Range].[StoreID].[All]" dimensionUniqueName="[Range]" displayFolder="" count="2" memberValueDatatype="130" unbalanced="0">
      <fieldsUsage count="2">
        <fieldUsage x="-1"/>
        <fieldUsage x="0"/>
      </fieldsUsage>
    </cacheHierarchy>
    <cacheHierarchy uniqueName="[Range].[EmployeeID]" caption="EmployeeID" attribute="1" defaultMemberUniqueName="[Range].[EmployeeID].[All]" allUniqueName="[Range].[EmployeeID].[All]" dimensionUniqueName="[Range]" displayFolder="" count="0" memberValueDatatype="130" unbalanced="0"/>
    <cacheHierarchy uniqueName="[Range].[PromotionID]" caption="PromotionID" attribute="1" defaultMemberUniqueName="[Range].[PromotionID].[All]" allUniqueName="[Range].[PromotionID].[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TotalAmount]" caption="TotalAmount" attribute="1" defaultMemberUniqueName="[Range].[TotalAmount].[All]" allUniqueName="[Range].[TotalAmount].[All]" dimensionUniqueName="[Range]" displayFolder="" count="0" memberValueDatatype="5" unbalanced="0"/>
    <cacheHierarchy uniqueName="[Range].[date]" caption="date" attribute="1" defaultMemberUniqueName="[Range].[date].[All]" allUniqueName="[Range].[date].[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season]" caption="season" attribute="1" defaultMemberUniqueName="[Range].[season].[All]" allUniqueName="[Range].[season].[All]" dimensionUniqueName="[Range]" displayFolder="" count="0" memberValueDatatype="130" unbalanced="0"/>
    <cacheHierarchy uniqueName="[Range].[promo_flag]" caption="promo_flag" attribute="1" defaultMemberUniqueName="[Range].[promo_flag].[All]" allUniqueName="[Range].[promo_flag].[All]" dimensionUniqueName="[Range]" displayFolder="" count="0" memberValueDatatype="130" unbalanced="0"/>
    <cacheHierarchy uniqueName="[Range].[Employee_Known_Flag]" caption="Employee_Known_Flag" attribute="1" defaultMemberUniqueName="[Range].[Employee_Known_Flag].[All]" allUniqueName="[Range].[Employee_Known_Flag].[All]" dimensionUniqueName="[Range]" displayFolder="" count="0" memberValueDatatype="130" unbalanced="0"/>
    <cacheHierarchy uniqueName="[Range].[Cust_Visit_Count]" caption="Cust_Visit_Count" attribute="1" defaultMemberUniqueName="[Range].[Cust_Visit_Count].[All]" allUniqueName="[Range].[Cust_Visit_Count].[All]" dimensionUniqueName="[Range]" displayFolder="" count="0" memberValueDatatype="20" unbalanced="0"/>
    <cacheHierarchy uniqueName="[Range 1].[TransactionID]" caption="TransactionID" attribute="1" defaultMemberUniqueName="[Range 1].[TransactionID].[All]" allUniqueName="[Range 1].[Transaction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StoreID]" caption="StoreID" attribute="1" defaultMemberUniqueName="[Range 1].[StoreID].[All]" allUniqueName="[Range 1].[StoreID].[All]" dimensionUniqueName="[Range 1]" displayFolder="" count="2" memberValueDatatype="130" unbalanced="0">
      <fieldsUsage count="2">
        <fieldUsage x="-1"/>
        <fieldUsage x="2"/>
      </fieldsUsage>
    </cacheHierarchy>
    <cacheHierarchy uniqueName="[Range 1].[EmployeeID]" caption="EmployeeID" attribute="1" defaultMemberUniqueName="[Range 1].[EmployeeID].[All]" allUniqueName="[Range 1].[EmployeeID].[All]" dimensionUniqueName="[Range 1]" displayFolder="" count="0" memberValueDatatype="130" unbalanced="0"/>
    <cacheHierarchy uniqueName="[Range 1].[PromotionID]" caption="PromotionID" attribute="1" defaultMemberUniqueName="[Range 1].[PromotionID].[All]" allUniqueName="[Range 1].[PromotionID].[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date]" caption="date" attribute="1" defaultMemberUniqueName="[Range 1].[date].[All]" allUniqueName="[Range 1].[date].[All]" dimensionUniqueName="[Range 1]" displayFolder="" count="0" memberValueDatatype="130" unbalanced="0"/>
    <cacheHierarchy uniqueName="[Range 1].[month]" caption="month" attribute="1" defaultMemberUniqueName="[Range 1].[month].[All]" allUniqueName="[Range 1].[month].[All]" dimensionUniqueName="[Range 1]" displayFolder="" count="0" memberValueDatatype="20" unbalanced="0"/>
    <cacheHierarchy uniqueName="[Range 1].[season]" caption="season" attribute="1" defaultMemberUniqueName="[Range 1].[season].[All]" allUniqueName="[Range 1].[season].[All]" dimensionUniqueName="[Range 1]" displayFolder="" count="0" memberValueDatatype="130" unbalanced="0"/>
    <cacheHierarchy uniqueName="[Range 1].[promo_flag]" caption="promo_flag" attribute="1" defaultMemberUniqueName="[Range 1].[promo_flag].[All]" allUniqueName="[Range 1].[promo_flag].[All]" dimensionUniqueName="[Range 1]" displayFolder="" count="0" memberValueDatatype="130" unbalanced="0"/>
    <cacheHierarchy uniqueName="[Range 1].[Employee_Known_Flag]" caption="Employee_Known_Flag" attribute="1" defaultMemberUniqueName="[Range 1].[Employee_Known_Flag].[All]" allUniqueName="[Range 1].[Employee_Known_Flag].[All]" dimensionUniqueName="[Range 1]" displayFolder="" count="0" memberValueDatatype="130" unbalanced="0"/>
    <cacheHierarchy uniqueName="[Range 1].[Cust_Visit_Count]" caption="Cust_Visit_Count" attribute="1" defaultMemberUniqueName="[Range 1].[Cust_Visit_Count].[All]" allUniqueName="[Range 1].[Cust_Visit_Count].[All]" dimensionUniqueName="[Range 1]" displayFolder="" count="0" memberValueDatatype="20" unbalanced="0"/>
    <cacheHierarchy uniqueName="[Range 1].[Month name]" caption="Month name" attribute="1" defaultMemberUniqueName="[Range 1].[Month name].[All]" allUniqueName="[Range 1].[Month name].[All]" dimensionUniqueName="[Range 1]" displayFolder="" count="0" memberValueDatatype="130" unbalanced="0"/>
    <cacheHierarchy uniqueName="[Range 1].[Rank]" caption="Rank" attribute="1" defaultMemberUniqueName="[Range 1].[Rank].[All]" allUniqueName="[Range 1].[Rank].[All]" dimensionUniqueName="[Range 1]" displayFolder="" count="0" memberValueDatatype="20" unbalanced="0"/>
    <cacheHierarchy uniqueName="[Range 1].[Group]" caption="Group" attribute="1" defaultMemberUniqueName="[Range 1].[Group].[All]" allUniqueName="[Range 1].[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ID]" caption="Count of StoreID" measure="1" displayFolder="" measureGroup="Range" count="0" hidden="1">
      <extLst>
        <ext xmlns:x15="http://schemas.microsoft.com/office/spreadsheetml/2010/11/main" uri="{B97F6D7D-B522-45F9-BDA1-12C45D357490}">
          <x15:cacheHierarchy aggregatedColumn="2"/>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ID]" caption="Count of TransactionID" measure="1" displayFolder="" measureGroup="Range" count="0" hidden="1">
      <extLst>
        <ext xmlns:x15="http://schemas.microsoft.com/office/spreadsheetml/2010/11/main" uri="{B97F6D7D-B522-45F9-BDA1-12C45D357490}">
          <x15:cacheHierarchy aggregatedColumn="0"/>
        </ext>
      </extLst>
    </cacheHierarchy>
    <cacheHierarchy uniqueName="[Measures].[Average of TotalAmount]" caption="Average of TotalAmount" measure="1" displayFolder="" measureGroup="Range" count="0" hidden="1">
      <extLst>
        <ext xmlns:x15="http://schemas.microsoft.com/office/spreadsheetml/2010/11/main" uri="{B97F6D7D-B522-45F9-BDA1-12C45D357490}">
          <x15:cacheHierarchy aggregatedColumn="6"/>
        </ext>
      </extLst>
    </cacheHierarchy>
    <cacheHierarchy uniqueName="[Measures].[Sum of TotalAmount 2]" caption="Sum of TotalAmount 2" measure="1" displayFolder="" measureGroup="Range 1"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s v="TRN-9983"/>
    <s v="CUST-1104"/>
    <s v="Unknown"/>
    <s v="EMP-0104"/>
    <s v="PROMO-00"/>
    <s v="Credit Card"/>
    <n v="313"/>
    <s v="2022-01-01"/>
    <n v="1"/>
    <s v="Makar Sankranti"/>
    <s v="Promoted"/>
    <s v="Known Employee"/>
    <n v="6"/>
    <x v="0"/>
  </r>
  <r>
    <s v="TRN-9846"/>
    <s v="CUST-1104"/>
    <s v="STO-01"/>
    <s v="EMP-0104"/>
    <s v="PROMO-03"/>
    <s v="Debit Card"/>
    <n v="547.20000000000005"/>
    <s v="2022-01-02"/>
    <n v="1"/>
    <s v="Makar Sankranti"/>
    <s v="Promoted"/>
    <s v="Known Employee"/>
    <n v="6"/>
    <x v="0"/>
  </r>
  <r>
    <s v="TRN-9751"/>
    <s v="CUST-1046"/>
    <s v="Unknown"/>
    <s v="EMP-0105"/>
    <s v="PROMO-00"/>
    <s v="Mobile Payment"/>
    <n v="310"/>
    <s v="2022-01-04"/>
    <n v="1"/>
    <s v="Makar Sankranti"/>
    <s v="Promoted"/>
    <s v="Known Employee"/>
    <n v="4"/>
    <x v="0"/>
  </r>
  <r>
    <s v="TRN-9332"/>
    <s v="CUST-1138"/>
    <s v="STO-03"/>
    <s v="EMP-0304"/>
    <s v="PROMO-01"/>
    <s v="Cash"/>
    <n v="93.5"/>
    <s v="2022-01-10"/>
    <n v="1"/>
    <s v="Makar Sankranti"/>
    <s v="Promoted"/>
    <s v="Known Employee"/>
    <n v="5"/>
    <x v="0"/>
  </r>
  <r>
    <s v="TRN-9437"/>
    <s v="CUST-1191"/>
    <s v="STO-01"/>
    <s v="EMP-0103"/>
    <s v="PROMO-01"/>
    <s v="Cash"/>
    <n v="458.15"/>
    <s v="2022-01-10"/>
    <n v="1"/>
    <s v="Makar Sankranti"/>
    <s v="Promoted"/>
    <s v="Known Employee"/>
    <n v="8"/>
    <x v="0"/>
  </r>
  <r>
    <s v="TRN-9571"/>
    <s v="CUST-1057"/>
    <s v="STO-01"/>
    <s v="EMP-0101"/>
    <s v="PROMO-00"/>
    <s v="Mobile Payment"/>
    <n v="435"/>
    <s v="2022-01-11"/>
    <n v="1"/>
    <s v="Makar Sankranti"/>
    <s v="Promoted"/>
    <s v="Known Employee"/>
    <n v="2"/>
    <x v="0"/>
  </r>
  <r>
    <s v="TRN-9061"/>
    <s v="CUST-1044"/>
    <s v="STO-02"/>
    <s v="EMP-0204"/>
    <s v="PROMO-02"/>
    <s v="Credit Card"/>
    <n v="288"/>
    <s v="2022-01-14"/>
    <n v="1"/>
    <s v="Makar Sankranti"/>
    <s v="Promoted"/>
    <s v="Known Employee"/>
    <n v="5"/>
    <x v="0"/>
  </r>
  <r>
    <s v="TRN-9027"/>
    <s v="CUST-1001"/>
    <s v="STO-04"/>
    <s v=" EMP-0402 "/>
    <s v="PROMO-02"/>
    <s v="Cash"/>
    <n v="156.6"/>
    <s v="2022-01-15"/>
    <n v="1"/>
    <s v="Makar Sankranti"/>
    <s v="Promoted"/>
    <s v="Known Employee"/>
    <n v="5"/>
    <x v="0"/>
  </r>
  <r>
    <s v="TRN-9587"/>
    <s v="CUST-1016"/>
    <s v="Unknown"/>
    <s v="EMP-0105"/>
    <s v="PROMO-00"/>
    <s v="Credit Card"/>
    <n v="412"/>
    <s v="2022-01-17"/>
    <n v="1"/>
    <s v="Makar Sankranti"/>
    <s v="Promoted"/>
    <s v="Known Employee"/>
    <n v="6"/>
    <x v="0"/>
  </r>
  <r>
    <s v="TRN-9795"/>
    <s v="CUST-1022"/>
    <s v="STO-03"/>
    <s v=" EMP-0302 "/>
    <s v="PROMO-00"/>
    <s v="Credit Card"/>
    <n v="775"/>
    <s v="2022-01-18"/>
    <n v="1"/>
    <s v="Makar Sankranti"/>
    <s v="Promoted"/>
    <s v="Known Employee"/>
    <n v="7"/>
    <x v="0"/>
  </r>
  <r>
    <s v="TRN-9495"/>
    <s v="CUST-1072"/>
    <s v="STO-04"/>
    <s v="EMP-0405"/>
    <s v="PROMO-00"/>
    <s v="Cash"/>
    <n v="170"/>
    <s v="2022-01-19"/>
    <n v="1"/>
    <s v="Makar Sankranti"/>
    <s v="Promoted"/>
    <s v="Known Employee"/>
    <n v="3"/>
    <x v="0"/>
  </r>
  <r>
    <s v="TRN-9169"/>
    <s v="CUST-1103"/>
    <s v="STO-01"/>
    <s v="EMP-0101"/>
    <s v="PROMO-00"/>
    <s v="Credit Card"/>
    <n v="110"/>
    <s v="2022-01-24"/>
    <n v="1"/>
    <s v="Makar Sankranti"/>
    <s v="Promoted"/>
    <s v="Known Employee"/>
    <n v="3"/>
    <x v="0"/>
  </r>
  <r>
    <s v="TRN-9548"/>
    <s v="CUST-1086"/>
    <s v="STO-04"/>
    <s v="EMP-0402"/>
    <s v="PROMO-00"/>
    <s v="Mobile Payment"/>
    <n v="280"/>
    <s v="2022-01-25"/>
    <n v="1"/>
    <s v="Makar Sankranti"/>
    <s v="Promoted"/>
    <s v="Known Employee"/>
    <n v="8"/>
    <x v="0"/>
  </r>
  <r>
    <s v="TRN-9069"/>
    <s v="CUST-1146"/>
    <s v="STO-04"/>
    <s v="EMP-0401"/>
    <s v="PROMO-00"/>
    <s v="Debit Card"/>
    <n v="641"/>
    <s v="2022-01-26"/>
    <n v="1"/>
    <s v="Makar Sankranti"/>
    <s v="Promoted"/>
    <s v="Known Employee"/>
    <n v="8"/>
    <x v="0"/>
  </r>
  <r>
    <s v="TRN-9924"/>
    <s v="CUST-1039"/>
    <s v="STO-04"/>
    <s v="EMP-0403"/>
    <s v="PROMO-00"/>
    <s v="Debit Card"/>
    <n v="60"/>
    <s v="2022-01-30"/>
    <n v="1"/>
    <s v="Makar Sankranti"/>
    <s v="Promoted"/>
    <s v="Known Employee"/>
    <n v="4"/>
    <x v="0"/>
  </r>
  <r>
    <s v="TRN-9118"/>
    <s v="CUST-1200"/>
    <s v="STO-02"/>
    <s v="EMP-0205"/>
    <s v="PROMO-00"/>
    <s v="Debit Card"/>
    <n v="520"/>
    <s v="2022-02-01"/>
    <n v="2"/>
    <s v="Regular"/>
    <s v="Promoted"/>
    <s v="Known Employee"/>
    <n v="6"/>
    <x v="1"/>
  </r>
  <r>
    <s v="TRN-9850"/>
    <s v="CUST-1179"/>
    <s v="STO-04"/>
    <s v="EMP-0404"/>
    <s v=" PROMO-01 "/>
    <s v="Cash"/>
    <n v="165.75"/>
    <s v="2022-02-03"/>
    <n v="2"/>
    <s v="Regular"/>
    <s v="Promoted"/>
    <s v="Known Employee"/>
    <n v="7"/>
    <x v="1"/>
  </r>
  <r>
    <s v="TRN-9886"/>
    <s v="CUST-1184"/>
    <s v="STO-01"/>
    <s v="EMP-0102"/>
    <s v="PROMO-00"/>
    <s v="Debit Card"/>
    <n v="455"/>
    <s v="2022-02-07"/>
    <n v="2"/>
    <s v="Regular"/>
    <s v="Promoted"/>
    <s v="Known Employee"/>
    <n v="4"/>
    <x v="1"/>
  </r>
  <r>
    <s v="TRN-9371"/>
    <s v="CUST-1013"/>
    <s v="STO-01"/>
    <s v="EMP-0105"/>
    <s v="PROMO-00"/>
    <s v="Cash"/>
    <n v="450"/>
    <s v="2022-02-17"/>
    <n v="2"/>
    <s v="Regular"/>
    <s v="Promoted"/>
    <s v="Known Employee"/>
    <n v="6"/>
    <x v="1"/>
  </r>
  <r>
    <s v="TRN-9291"/>
    <s v="CUST-1111"/>
    <s v="STO-04"/>
    <s v="EMP-0404"/>
    <s v="PROMO-00"/>
    <s v="Cash"/>
    <n v="325"/>
    <s v="2022-02-19"/>
    <n v="2"/>
    <s v="Regular"/>
    <s v="Promoted"/>
    <s v="Known Employee"/>
    <n v="5"/>
    <x v="1"/>
  </r>
  <r>
    <s v="TRN-9087"/>
    <s v="CUST-1120"/>
    <s v="STO-01"/>
    <s v="EMP-0101"/>
    <s v="PROMO-02"/>
    <s v="Debit Card"/>
    <n v="376.2"/>
    <s v="2022-02-22"/>
    <n v="2"/>
    <s v="Regular"/>
    <s v="Promoted"/>
    <s v="Known Employee"/>
    <n v="6"/>
    <x v="1"/>
  </r>
  <r>
    <s v="TRN-9702"/>
    <s v="CUST-1042"/>
    <s v="STO-04"/>
    <s v="Unknown"/>
    <s v="PROMO-00"/>
    <s v="Debit Card"/>
    <n v="644"/>
    <s v="2022-02-23"/>
    <n v="2"/>
    <s v="Regular"/>
    <s v="Promoted"/>
    <s v="UnKnown Employee"/>
    <n v="7"/>
    <x v="1"/>
  </r>
  <r>
    <s v="TRN-9005"/>
    <s v="CUST-1148"/>
    <s v="STO-04"/>
    <s v="EMP-0401"/>
    <s v="PROMO-00"/>
    <s v="Cash"/>
    <n v="364"/>
    <s v="2022-02-24"/>
    <n v="2"/>
    <s v="Regular"/>
    <s v="Promoted"/>
    <s v="Known Employee"/>
    <n v="4"/>
    <x v="1"/>
  </r>
  <r>
    <s v="TRN-9710"/>
    <s v="CUST-1101"/>
    <s v="STO-04"/>
    <s v="EMP-0401"/>
    <s v="PROMO-00"/>
    <s v="Credit Card"/>
    <n v="443"/>
    <s v="2022-02-25"/>
    <n v="2"/>
    <s v="Regular"/>
    <s v="Promoted"/>
    <s v="Known Employee"/>
    <n v="3"/>
    <x v="1"/>
  </r>
  <r>
    <s v="TRN-9781"/>
    <s v="CUST-1133"/>
    <s v="STO-03"/>
    <s v=" EMP-0301 "/>
    <s v="PROMO-00"/>
    <s v="Mobile Payment"/>
    <n v="505"/>
    <s v="2022-02-26"/>
    <n v="2"/>
    <s v="Regular"/>
    <s v="Promoted"/>
    <s v="Known Employee"/>
    <n v="4"/>
    <x v="1"/>
  </r>
  <r>
    <s v="TRN-9526"/>
    <s v="CUST-1016"/>
    <s v="STO-02"/>
    <s v="EMP-0204"/>
    <s v="PROMO-00"/>
    <s v="Cash"/>
    <n v="320"/>
    <s v="2022-02-27"/>
    <n v="2"/>
    <s v="Regular"/>
    <s v="Promoted"/>
    <s v="Known Employee"/>
    <n v="6"/>
    <x v="1"/>
  </r>
  <r>
    <s v="TRN-9112"/>
    <s v="CUST-1147"/>
    <s v="STO-04"/>
    <s v="EMP-0403"/>
    <s v="PROMO-02"/>
    <s v="Cash"/>
    <n v="593.1"/>
    <s v="2022-02-28"/>
    <n v="2"/>
    <s v="Regular"/>
    <s v="Promoted"/>
    <s v="Known Employee"/>
    <n v="8"/>
    <x v="1"/>
  </r>
  <r>
    <s v="TRN-9014"/>
    <s v="CUST-1162"/>
    <s v="STO-01"/>
    <s v="EMP-0105"/>
    <s v="PROMO-00"/>
    <s v="Cash"/>
    <n v="259"/>
    <s v="2022-02-28"/>
    <n v="2"/>
    <s v="Regular"/>
    <s v="Promoted"/>
    <s v="Known Employee"/>
    <n v="4"/>
    <x v="1"/>
  </r>
  <r>
    <s v="TRN-9139"/>
    <s v=" CUST-1184 "/>
    <s v="STO-01"/>
    <s v="EMP-0101"/>
    <s v="PROMO-03"/>
    <s v="Mobile Payment"/>
    <n v="171"/>
    <s v="2022-03-05"/>
    <n v="3"/>
    <s v="Holi"/>
    <s v="Promoted"/>
    <s v="Known Employee"/>
    <n v="1"/>
    <x v="2"/>
  </r>
  <r>
    <s v="TRN-9925"/>
    <s v="CUST-1128"/>
    <s v="STO-04"/>
    <s v="EMP-0405"/>
    <s v="PROMO-00"/>
    <s v="Mobile Payment"/>
    <n v="460"/>
    <s v="2022-03-05"/>
    <n v="3"/>
    <s v="Holi"/>
    <s v="Promoted"/>
    <s v="Known Employee"/>
    <n v="6"/>
    <x v="2"/>
  </r>
  <r>
    <s v="TRN-9633"/>
    <s v="CUST-1044"/>
    <s v="STO-04"/>
    <s v="EMP-0404"/>
    <s v="PROMO-00"/>
    <s v="Mobile Payment"/>
    <n v="116"/>
    <s v="2022-03-06"/>
    <n v="3"/>
    <s v="Holi"/>
    <s v="Promoted"/>
    <s v="Known Employee"/>
    <n v="5"/>
    <x v="2"/>
  </r>
  <r>
    <s v="TRN-9775"/>
    <s v="CUST-1048"/>
    <s v="STO-01"/>
    <s v="EMP-0103"/>
    <s v="PROMO-00"/>
    <s v="Debit Card"/>
    <n v="574"/>
    <s v="2022-03-06"/>
    <n v="3"/>
    <s v="Holi"/>
    <s v="Promoted"/>
    <s v="Known Employee"/>
    <n v="8"/>
    <x v="2"/>
  </r>
  <r>
    <s v="TRN-9554"/>
    <s v="CUST-1029"/>
    <s v="STO-02"/>
    <s v="EMP-0203"/>
    <s v="PROMO-00"/>
    <s v="Credit Card"/>
    <n v="514"/>
    <s v="2022-03-12"/>
    <n v="3"/>
    <s v="Holi"/>
    <s v="Promoted"/>
    <s v="Known Employee"/>
    <n v="4"/>
    <x v="2"/>
  </r>
  <r>
    <s v="TRN-9121"/>
    <s v=" CUST-1176 "/>
    <s v=" STO-01 "/>
    <s v="EMP-0103"/>
    <s v="PROMO-00"/>
    <s v="Mobile Payment"/>
    <n v="527"/>
    <s v="2022-03-19"/>
    <n v="3"/>
    <s v="Holi"/>
    <s v="Promoted"/>
    <s v="Known Employee"/>
    <n v="1"/>
    <x v="2"/>
  </r>
  <r>
    <s v=" TRN-9834 "/>
    <s v="CUST-1086"/>
    <s v="STO-04"/>
    <s v="EMP-0405"/>
    <s v="PROMO-03"/>
    <s v="Credit Card"/>
    <n v="468.35"/>
    <s v="2022-03-20"/>
    <n v="3"/>
    <s v="Holi"/>
    <s v="Promoted"/>
    <s v="Known Employee"/>
    <n v="8"/>
    <x v="2"/>
  </r>
  <r>
    <s v="TRN-9645"/>
    <s v="CUST-1120"/>
    <s v="STO-03"/>
    <s v="EMP-0303"/>
    <s v="PROMO-02"/>
    <s v="Cash"/>
    <n v="468.9"/>
    <s v="2022-03-22"/>
    <n v="3"/>
    <s v="Holi"/>
    <s v="Promoted"/>
    <s v="Known Employee"/>
    <n v="6"/>
    <x v="2"/>
  </r>
  <r>
    <s v="TRN-9954"/>
    <s v="CUST-1199"/>
    <s v="STO-04"/>
    <s v="EMP-0403"/>
    <s v="PROMO-01"/>
    <s v="Mobile Payment"/>
    <n v="178.5"/>
    <s v="2022-03-30"/>
    <n v="3"/>
    <s v="Holi"/>
    <s v="Promoted"/>
    <s v="Known Employee"/>
    <n v="3"/>
    <x v="2"/>
  </r>
  <r>
    <s v="TRN-9887"/>
    <s v="CUST-1015"/>
    <s v=" STO-02 "/>
    <s v="EMP-0203"/>
    <s v="PROMO-01"/>
    <s v="Mobile Payment"/>
    <n v="486.2"/>
    <s v="2022-03-31"/>
    <n v="3"/>
    <s v="Holi"/>
    <s v="Promoted"/>
    <s v="Known Employee"/>
    <n v="6"/>
    <x v="2"/>
  </r>
  <r>
    <s v=" TRN-9664 "/>
    <s v="CUST-1179"/>
    <s v="STO-04"/>
    <s v="EMP-0404"/>
    <s v="PROMO-00"/>
    <s v="Credit Card"/>
    <n v="476"/>
    <s v="2022-04-01"/>
    <n v="4"/>
    <s v="Regular"/>
    <s v="Promoted"/>
    <s v="Known Employee"/>
    <n v="7"/>
    <x v="3"/>
  </r>
  <r>
    <s v="TRN-9859"/>
    <s v="CUST-1054"/>
    <s v=" STO-01 "/>
    <s v=" EMP-0101 "/>
    <s v="PROMO-00"/>
    <s v="Credit Card"/>
    <n v="650"/>
    <s v="2022-04-03"/>
    <n v="4"/>
    <s v="Regular"/>
    <s v="Promoted"/>
    <s v="Known Employee"/>
    <n v="4"/>
    <x v="3"/>
  </r>
  <r>
    <s v="TRN-9981"/>
    <s v="CUST-1078"/>
    <s v="STO-02"/>
    <s v="EMP-0205"/>
    <s v="PROMO-00"/>
    <s v="Credit Card"/>
    <n v="255"/>
    <s v="2022-04-04"/>
    <n v="4"/>
    <s v="Regular"/>
    <s v="Promoted"/>
    <s v="Known Employee"/>
    <n v="4"/>
    <x v="3"/>
  </r>
  <r>
    <s v="TRN-9116"/>
    <s v="CUST-1153"/>
    <s v="STO-03"/>
    <s v="EMP-0304"/>
    <s v="PROMO-03"/>
    <s v="Debit Card"/>
    <n v="513"/>
    <s v="2022-04-12"/>
    <n v="4"/>
    <s v="Regular"/>
    <s v="Promoted"/>
    <s v="Known Employee"/>
    <n v="7"/>
    <x v="3"/>
  </r>
  <r>
    <s v="TRN-9049"/>
    <s v="CUST-1065"/>
    <s v="STO-04"/>
    <s v="Unknown"/>
    <s v="PROMO-00"/>
    <s v="Debit Card"/>
    <n v="615"/>
    <s v="2022-04-13"/>
    <n v="4"/>
    <s v="Regular"/>
    <s v="Promoted"/>
    <s v="UnKnown Employee"/>
    <n v="9"/>
    <x v="3"/>
  </r>
  <r>
    <s v="TRN-9478"/>
    <s v="CUST-1129"/>
    <s v="STO-02"/>
    <s v="Unknown"/>
    <s v="PROMO-00"/>
    <s v="Cash"/>
    <n v="385"/>
    <s v="2022-04-14"/>
    <n v="4"/>
    <s v="Regular"/>
    <s v="Promoted"/>
    <s v="UnKnown Employee"/>
    <n v="4"/>
    <x v="3"/>
  </r>
  <r>
    <s v="TRN-9388"/>
    <s v="CUST-1002"/>
    <s v="STO-02"/>
    <s v="EMP-0203"/>
    <s v="PROMO-03"/>
    <s v="Unknown"/>
    <n v="545.29999999999995"/>
    <s v="2022-04-15"/>
    <n v="4"/>
    <s v="Regular"/>
    <s v="Promoted"/>
    <s v="Known Employee"/>
    <n v="5"/>
    <x v="3"/>
  </r>
  <r>
    <s v="TRN-9978"/>
    <s v="CUST-1119"/>
    <s v="STO-04"/>
    <s v="EMP-0404"/>
    <s v="PROMO-00"/>
    <s v="Debit Card"/>
    <n v="380"/>
    <s v="2022-04-15"/>
    <n v="4"/>
    <s v="Regular"/>
    <s v="Promoted"/>
    <s v="Known Employee"/>
    <n v="6"/>
    <x v="3"/>
  </r>
  <r>
    <s v="TRN-9915"/>
    <s v="CUST-1087"/>
    <s v="STO-04"/>
    <s v="EMP-0405"/>
    <s v="PROMO-00"/>
    <s v="Debit Card"/>
    <n v="559"/>
    <s v="2022-04-17"/>
    <n v="4"/>
    <s v="Regular"/>
    <s v="Promoted"/>
    <s v="Known Employee"/>
    <n v="3"/>
    <x v="3"/>
  </r>
  <r>
    <s v="TRN-9770"/>
    <s v="CUST-1067"/>
    <s v=" STO-01 "/>
    <s v="EMP-0101"/>
    <s v="PROMO-03"/>
    <s v="Credit Card"/>
    <n v="247"/>
    <s v="2022-04-21"/>
    <n v="4"/>
    <s v="Regular"/>
    <s v="Promoted"/>
    <s v="Known Employee"/>
    <n v="4"/>
    <x v="3"/>
  </r>
  <r>
    <s v="TRN-9248"/>
    <s v="CUST-1102"/>
    <s v="STO-01"/>
    <s v="EMP-0105"/>
    <s v="PROMO-02"/>
    <s v="Debit Card"/>
    <n v="520.20000000000005"/>
    <s v="2022-04-21"/>
    <n v="4"/>
    <s v="Regular"/>
    <s v="Promoted"/>
    <s v="Known Employee"/>
    <n v="5"/>
    <x v="3"/>
  </r>
  <r>
    <s v="TRN-9344"/>
    <s v="CUST-1140"/>
    <s v="STO-02"/>
    <s v="EMP-0201"/>
    <s v="PROMO-00"/>
    <s v="Unknown"/>
    <n v="426"/>
    <s v="2022-04-23"/>
    <n v="4"/>
    <s v="Regular"/>
    <s v="Promoted"/>
    <s v="Known Employee"/>
    <n v="4"/>
    <x v="3"/>
  </r>
  <r>
    <s v="TRN-9966"/>
    <s v="CUST-1193"/>
    <s v="STO-04"/>
    <s v="EMP-0404"/>
    <s v="PROMO-00"/>
    <s v="Mobile Payment"/>
    <n v="518"/>
    <s v="2022-04-23"/>
    <n v="4"/>
    <s v="Regular"/>
    <s v="Promoted"/>
    <s v="Known Employee"/>
    <n v="5"/>
    <x v="3"/>
  </r>
  <r>
    <s v="TRN-9111"/>
    <s v="CUST-1195"/>
    <s v="STO-01"/>
    <s v="EMP-0101"/>
    <s v="No Promotion"/>
    <s v="Credit Card"/>
    <n v="520"/>
    <s v="2022-04-27"/>
    <n v="4"/>
    <s v="Regular"/>
    <s v="Not Promoted"/>
    <s v="Known Employee"/>
    <n v="4"/>
    <x v="3"/>
  </r>
  <r>
    <s v="TRN-9699"/>
    <s v="CUST-1128"/>
    <s v="STO-02"/>
    <s v="Unknown"/>
    <s v="PROMO-00"/>
    <s v="Mobile Payment"/>
    <n v="274"/>
    <s v="2022-04-28"/>
    <n v="4"/>
    <s v="Regular"/>
    <s v="Promoted"/>
    <s v="UnKnown Employee"/>
    <n v="6"/>
    <x v="3"/>
  </r>
  <r>
    <s v="TRN-9697"/>
    <s v="CUST-1063"/>
    <s v="STO-04"/>
    <s v="EMP-0401"/>
    <s v="PROMO-02"/>
    <s v="Credit Card"/>
    <n v="126"/>
    <s v="2022-04-29"/>
    <n v="4"/>
    <s v="Regular"/>
    <s v="Promoted"/>
    <s v="Known Employee"/>
    <n v="3"/>
    <x v="3"/>
  </r>
  <r>
    <s v="TRN-9267"/>
    <s v="CUST-1171"/>
    <s v="STO-01"/>
    <s v="EMP-0103"/>
    <s v="PROMO-02"/>
    <s v="Mobile Payment"/>
    <n v="294.3"/>
    <s v="2022-05-02"/>
    <n v="5"/>
    <s v="Regular"/>
    <s v="Promoted"/>
    <s v="Known Employee"/>
    <n v="5"/>
    <x v="4"/>
  </r>
  <r>
    <s v="TRN-9647"/>
    <s v="CUST-1147"/>
    <s v="STO-03"/>
    <s v="EMP-0302"/>
    <s v="PROMO-00"/>
    <s v="Credit Card"/>
    <n v="170"/>
    <s v="2022-05-08"/>
    <n v="5"/>
    <s v="Regular"/>
    <s v="Promoted"/>
    <s v="Known Employee"/>
    <n v="8"/>
    <x v="4"/>
  </r>
  <r>
    <s v="TRN-9692"/>
    <s v="CUST-1137"/>
    <s v="STO-03"/>
    <s v="EMP-0304"/>
    <s v="PROMO-00"/>
    <s v="Cash"/>
    <n v="346"/>
    <s v="2022-05-11"/>
    <n v="5"/>
    <s v="Regular"/>
    <s v="Promoted"/>
    <s v="Known Employee"/>
    <n v="4"/>
    <x v="4"/>
  </r>
  <r>
    <s v="TRN-9969"/>
    <s v="CUST-1086"/>
    <s v="STO-01"/>
    <s v="EMP-0103"/>
    <s v="PROMO-00"/>
    <s v="Mobile Payment"/>
    <n v="193"/>
    <s v="2022-05-16"/>
    <n v="5"/>
    <s v="Regular"/>
    <s v="Promoted"/>
    <s v="Known Employee"/>
    <n v="8"/>
    <x v="4"/>
  </r>
  <r>
    <s v="TRN-9009"/>
    <s v="CUST-1038"/>
    <s v="STO-02"/>
    <s v="Unknown"/>
    <s v="PROMO-01"/>
    <s v="Credit Card"/>
    <n v="357"/>
    <s v="2022-05-17"/>
    <n v="5"/>
    <s v="Regular"/>
    <s v="Promoted"/>
    <s v="UnKnown Employee"/>
    <n v="4"/>
    <x v="4"/>
  </r>
  <r>
    <s v="TRN-9143"/>
    <s v="CUST-1061"/>
    <s v="STO-03"/>
    <s v="EMP-0304"/>
    <s v="PROMO-00"/>
    <s v="Credit Card"/>
    <n v="529"/>
    <s v="2022-05-21"/>
    <n v="5"/>
    <s v="Regular"/>
    <s v="Promoted"/>
    <s v="Known Employee"/>
    <n v="2"/>
    <x v="4"/>
  </r>
  <r>
    <s v="TRN-9328"/>
    <s v="CUST-1123"/>
    <s v="STO-02"/>
    <s v="EMP-0205"/>
    <s v="PROMO-00"/>
    <s v="Credit Card"/>
    <n v="250"/>
    <s v="2022-05-26"/>
    <n v="5"/>
    <s v="Regular"/>
    <s v="Promoted"/>
    <s v="Known Employee"/>
    <n v="3"/>
    <x v="4"/>
  </r>
  <r>
    <s v="TRN-9383"/>
    <s v="CUST-1028"/>
    <s v="STO-01"/>
    <s v="EMP-0105"/>
    <s v="PROMO-02"/>
    <s v="Mobile Payment"/>
    <n v="279"/>
    <s v="2022-05-28"/>
    <n v="5"/>
    <s v="Regular"/>
    <s v="Promoted"/>
    <s v="Known Employee"/>
    <n v="4"/>
    <x v="4"/>
  </r>
  <r>
    <s v="TRN-9445"/>
    <s v="CUST-1046"/>
    <s v="STO-01"/>
    <s v="EMP-0104"/>
    <s v="PROMO-00"/>
    <s v="Credit Card"/>
    <n v="416"/>
    <s v="2022-05-28"/>
    <n v="5"/>
    <s v="Regular"/>
    <s v="Promoted"/>
    <s v="Known Employee"/>
    <n v="4"/>
    <x v="4"/>
  </r>
  <r>
    <s v="TRN-9104"/>
    <s v="CUST-1062"/>
    <s v="STO-01"/>
    <s v="EMP-0104"/>
    <s v="PROMO-01"/>
    <s v="Debit Card"/>
    <n v="363.8"/>
    <s v="2022-05-29"/>
    <n v="5"/>
    <s v="Regular"/>
    <s v="Promoted"/>
    <s v="Known Employee"/>
    <n v="3"/>
    <x v="4"/>
  </r>
  <r>
    <s v="TRN-9658"/>
    <s v="CUST-1128"/>
    <s v=" STO-02 "/>
    <s v="EMP-0202"/>
    <s v="PROMO-00"/>
    <s v="Mobile Payment"/>
    <n v="255"/>
    <s v="2022-05-31"/>
    <n v="5"/>
    <s v="Regular"/>
    <s v="Promoted"/>
    <s v="Known Employee"/>
    <n v="6"/>
    <x v="4"/>
  </r>
  <r>
    <s v="TRN-9276"/>
    <s v="CUST-1199"/>
    <s v="STO-04"/>
    <s v="EMP-0401"/>
    <s v=" PROMO-02 "/>
    <s v="Credit Card"/>
    <n v="441"/>
    <s v="2022-06-01"/>
    <n v="6"/>
    <s v="Regular"/>
    <s v="Promoted"/>
    <s v="Known Employee"/>
    <n v="3"/>
    <x v="5"/>
  </r>
  <r>
    <s v="TRN-9419"/>
    <s v="CUST-1076"/>
    <s v="STO-04"/>
    <s v="EMP-0401"/>
    <s v="PROMO-03"/>
    <s v="Credit Card"/>
    <n v="330.6"/>
    <s v="2022-06-03"/>
    <n v="6"/>
    <s v="Regular"/>
    <s v="Promoted"/>
    <s v="Known Employee"/>
    <n v="3"/>
    <x v="5"/>
  </r>
  <r>
    <s v="TRN-9424"/>
    <s v="CUST-1047"/>
    <s v="STO-04"/>
    <s v="EMP-0401"/>
    <s v="PROMO-00"/>
    <s v="Mobile Payment"/>
    <n v="960"/>
    <s v="2022-06-04"/>
    <n v="6"/>
    <s v="Regular"/>
    <s v="Promoted"/>
    <s v="Known Employee"/>
    <n v="5"/>
    <x v="5"/>
  </r>
  <r>
    <s v="TRN-9671"/>
    <s v="CUST-1091"/>
    <s v="STO-01"/>
    <s v="EMP-0102"/>
    <s v="PROMO-00"/>
    <s v="Debit Card"/>
    <n v="376"/>
    <s v="2022-06-04"/>
    <n v="6"/>
    <s v="Regular"/>
    <s v="Promoted"/>
    <s v="Known Employee"/>
    <n v="3"/>
    <x v="5"/>
  </r>
  <r>
    <s v="TRN-9249"/>
    <s v="CUST-1068"/>
    <s v=" STO-02 "/>
    <s v="EMP-0202"/>
    <s v="PROMO-03"/>
    <s v="Credit Card"/>
    <n v="90.25"/>
    <s v="2022-06-07"/>
    <n v="6"/>
    <s v="Regular"/>
    <s v="Promoted"/>
    <s v="Known Employee"/>
    <n v="3"/>
    <x v="5"/>
  </r>
  <r>
    <s v="TRN-9455"/>
    <s v="CUST-1164"/>
    <s v="STO-02"/>
    <s v="EMP-0203"/>
    <s v="PROMO-00"/>
    <s v="Debit Card"/>
    <n v="215"/>
    <s v="2022-06-07"/>
    <n v="6"/>
    <s v="Regular"/>
    <s v="Promoted"/>
    <s v="Known Employee"/>
    <n v="7"/>
    <x v="5"/>
  </r>
  <r>
    <s v="TRN-9917"/>
    <s v="CUST-1200"/>
    <s v="STO-02"/>
    <s v="EMP-0201"/>
    <s v="PROMO-02"/>
    <s v="Debit Card"/>
    <n v="175.5"/>
    <s v="2022-06-07"/>
    <n v="6"/>
    <s v="Regular"/>
    <s v="Promoted"/>
    <s v="Known Employee"/>
    <n v="6"/>
    <x v="5"/>
  </r>
  <r>
    <s v=" TRN-9588 "/>
    <s v="CUST-1053"/>
    <s v="STO-01"/>
    <s v="EMP-0103"/>
    <s v="PROMO-00"/>
    <s v="Mobile Payment"/>
    <n v="201"/>
    <s v="2022-06-08"/>
    <n v="6"/>
    <s v="Regular"/>
    <s v="Promoted"/>
    <s v="Known Employee"/>
    <n v="5"/>
    <x v="5"/>
  </r>
  <r>
    <s v="TRN-9632"/>
    <s v="CUST-1164"/>
    <s v="STO-03"/>
    <s v="EMP-0301"/>
    <s v="No Promotion"/>
    <s v="Mobile Payment"/>
    <n v="55.25"/>
    <s v="2022-06-08"/>
    <n v="6"/>
    <s v="Regular"/>
    <s v="Not Promoted"/>
    <s v="Known Employee"/>
    <n v="7"/>
    <x v="5"/>
  </r>
  <r>
    <s v=" TRN-9988 "/>
    <s v="CUST-1191"/>
    <s v="STO-02"/>
    <s v="EMP-0201"/>
    <s v="PROMO-00"/>
    <s v="Credit Card"/>
    <n v="551"/>
    <s v="2022-06-08"/>
    <n v="6"/>
    <s v="Regular"/>
    <s v="Promoted"/>
    <s v="Known Employee"/>
    <n v="8"/>
    <x v="5"/>
  </r>
  <r>
    <s v="TRN-9672"/>
    <s v="CUST-1197"/>
    <s v="STO-03"/>
    <s v="EMP-0303"/>
    <s v=" PROMO-00 "/>
    <s v="Unknown"/>
    <n v="68"/>
    <s v="2022-06-08"/>
    <n v="6"/>
    <s v="Regular"/>
    <s v="Promoted"/>
    <s v="Known Employee"/>
    <n v="4"/>
    <x v="5"/>
  </r>
  <r>
    <s v="TRN-9004"/>
    <s v="CUST-1173"/>
    <s v="STO-03"/>
    <s v="EMP-0305"/>
    <s v="PROMO-00"/>
    <s v="Unknown"/>
    <n v="285"/>
    <s v="2022-06-10"/>
    <n v="6"/>
    <s v="Regular"/>
    <s v="Promoted"/>
    <s v="Known Employee"/>
    <n v="4"/>
    <x v="5"/>
  </r>
  <r>
    <s v=" TRN-9772 "/>
    <s v="CUST-1188"/>
    <s v="STO-01"/>
    <s v="EMP-0104"/>
    <s v="PROMO-00"/>
    <s v="Debit Card"/>
    <n v="715"/>
    <s v="2022-06-13"/>
    <n v="6"/>
    <s v="Regular"/>
    <s v="Promoted"/>
    <s v="Known Employee"/>
    <n v="2"/>
    <x v="5"/>
  </r>
  <r>
    <s v="TRN-9294"/>
    <s v="CUST-1086"/>
    <s v="STO-03"/>
    <s v="EMP-0304"/>
    <s v=" PROMO-00 "/>
    <s v="Cash"/>
    <n v="225"/>
    <s v="2022-06-18"/>
    <n v="6"/>
    <s v="Regular"/>
    <s v="Promoted"/>
    <s v="Known Employee"/>
    <n v="8"/>
    <x v="5"/>
  </r>
  <r>
    <s v="TRN-9986"/>
    <s v="CUST-1116"/>
    <s v="STO-03"/>
    <s v="EMP-0303"/>
    <s v="PROMO-01"/>
    <s v="Credit Card"/>
    <n v="310.25"/>
    <s v="2022-06-18"/>
    <n v="6"/>
    <s v="Regular"/>
    <s v="Promoted"/>
    <s v="Known Employee"/>
    <n v="2"/>
    <x v="5"/>
  </r>
  <r>
    <s v="TRN-9320"/>
    <s v="CUST-1012"/>
    <s v="STO-03"/>
    <s v="EMP-0302"/>
    <s v="PROMO-00"/>
    <s v="Cash"/>
    <n v="714"/>
    <s v="2022-06-23"/>
    <n v="6"/>
    <s v="Regular"/>
    <s v="Promoted"/>
    <s v="Known Employee"/>
    <n v="3"/>
    <x v="5"/>
  </r>
  <r>
    <s v="TRN-9503"/>
    <s v="CUST-1142"/>
    <s v="STO-03"/>
    <s v="Unknown"/>
    <s v="PROMO-00"/>
    <s v=" Debit Card "/>
    <n v="130"/>
    <s v="2022-06-26"/>
    <n v="6"/>
    <s v="Regular"/>
    <s v="Promoted"/>
    <s v="UnKnown Employee"/>
    <n v="4"/>
    <x v="5"/>
  </r>
  <r>
    <s v="TRN-9083"/>
    <s v="CUST-1050"/>
    <s v="STO-01"/>
    <s v="EMP-0104"/>
    <s v="PROMO-02"/>
    <s v="Credit Card"/>
    <n v="175.5"/>
    <s v="2022-06-28"/>
    <n v="6"/>
    <s v="Regular"/>
    <s v="Promoted"/>
    <s v="Known Employee"/>
    <n v="6"/>
    <x v="5"/>
  </r>
  <r>
    <s v="TRN-9708"/>
    <s v="CUST-1140"/>
    <s v="STO-02"/>
    <s v="EMP-0201"/>
    <s v="PROMO-00"/>
    <s v="Credit Card"/>
    <n v="240"/>
    <s v="2022-06-29"/>
    <n v="6"/>
    <s v="Regular"/>
    <s v="Promoted"/>
    <s v="Known Employee"/>
    <n v="4"/>
    <x v="5"/>
  </r>
  <r>
    <s v="TRN-9691"/>
    <s v="CUST-1095"/>
    <s v="STO-02"/>
    <s v="EMP-0202"/>
    <s v="PROMO-00"/>
    <s v="Mobile Payment"/>
    <n v="321"/>
    <s v="2022-07-05"/>
    <n v="7"/>
    <s v="Regular"/>
    <s v="Promoted"/>
    <s v="Known Employee"/>
    <n v="1"/>
    <x v="6"/>
  </r>
  <r>
    <s v="TRN-9726"/>
    <s v="CUST-1200"/>
    <s v="STO-04"/>
    <s v="EMP-0402"/>
    <s v="PROMO-00"/>
    <s v="Mobile Payment"/>
    <n v="186"/>
    <s v="2022-07-05"/>
    <n v="7"/>
    <s v="Regular"/>
    <s v="Promoted"/>
    <s v="Known Employee"/>
    <n v="6"/>
    <x v="6"/>
  </r>
  <r>
    <s v="TRN-9938"/>
    <s v="CUST-1164"/>
    <s v="STO-04"/>
    <s v="EMP-0401"/>
    <s v="PROMO-00"/>
    <s v="Debit Card"/>
    <n v="325"/>
    <s v="2022-07-06"/>
    <n v="7"/>
    <s v="Regular"/>
    <s v="Promoted"/>
    <s v="Known Employee"/>
    <n v="7"/>
    <x v="6"/>
  </r>
  <r>
    <s v="TRN-9758"/>
    <s v="CUST-1120"/>
    <s v="STO-04"/>
    <s v="EMP-0404"/>
    <s v="PROMO-00"/>
    <s v="Mobile Payment"/>
    <n v="360"/>
    <s v="2022-07-07"/>
    <n v="7"/>
    <s v="Regular"/>
    <s v="Promoted"/>
    <s v="Known Employee"/>
    <n v="6"/>
    <x v="6"/>
  </r>
  <r>
    <s v="TRN-9989"/>
    <s v="CUST-1026"/>
    <s v="STO-04"/>
    <s v="EMP-0404"/>
    <s v="PROMO-00"/>
    <s v="Unknown"/>
    <n v="600"/>
    <s v="2022-07-09"/>
    <n v="7"/>
    <s v="Regular"/>
    <s v="Promoted"/>
    <s v="Known Employee"/>
    <n v="4"/>
    <x v="6"/>
  </r>
  <r>
    <s v="TRN-9269"/>
    <s v="CUST-1058"/>
    <s v="STO-03"/>
    <s v="EMP-0304"/>
    <s v="PROMO-00"/>
    <s v="Debit Card"/>
    <n v="460"/>
    <s v="2022-07-09"/>
    <n v="7"/>
    <s v="Regular"/>
    <s v="Promoted"/>
    <s v="Known Employee"/>
    <n v="7"/>
    <x v="6"/>
  </r>
  <r>
    <s v="TRN-9649"/>
    <s v="CUST-1141"/>
    <s v="STO-03"/>
    <s v="EMP-0305"/>
    <s v="PROMO-02"/>
    <s v="Debit Card"/>
    <n v="124.2"/>
    <s v="2022-07-10"/>
    <n v="7"/>
    <s v="Regular"/>
    <s v="Promoted"/>
    <s v="Known Employee"/>
    <n v="4"/>
    <x v="6"/>
  </r>
  <r>
    <s v="TRN-9272"/>
    <s v="CUST-1152"/>
    <s v="STO-03"/>
    <s v="EMP-0304"/>
    <s v="PROMO-00"/>
    <s v="Cash"/>
    <n v="659"/>
    <s v="2022-07-10"/>
    <n v="7"/>
    <s v="Regular"/>
    <s v="Promoted"/>
    <s v="Known Employee"/>
    <n v="5"/>
    <x v="6"/>
  </r>
  <r>
    <s v="TRN-9636"/>
    <s v=" CUST-1038 "/>
    <s v="STO-04"/>
    <s v="EMP-0402"/>
    <s v="PROMO-00"/>
    <s v="Credit Card"/>
    <n v="490"/>
    <s v="2022-07-11"/>
    <n v="7"/>
    <s v="Regular"/>
    <s v="Promoted"/>
    <s v="Known Employee"/>
    <n v="2"/>
    <x v="6"/>
  </r>
  <r>
    <s v="TRN-9634"/>
    <s v="CUST-1091"/>
    <s v="STO-01"/>
    <s v="EMP-0105"/>
    <s v="PROMO-02"/>
    <s v="Unknown"/>
    <n v="504"/>
    <s v="2022-07-15"/>
    <n v="7"/>
    <s v="Regular"/>
    <s v="Promoted"/>
    <s v="Known Employee"/>
    <n v="3"/>
    <x v="6"/>
  </r>
  <r>
    <s v="TRN-9486"/>
    <s v="CUST-1194"/>
    <s v="Unknown"/>
    <s v="EMP-0104"/>
    <s v="PROMO-00"/>
    <s v="Credit Card"/>
    <n v="190"/>
    <s v="2022-07-15"/>
    <n v="7"/>
    <s v="Regular"/>
    <s v="Promoted"/>
    <s v="Known Employee"/>
    <n v="1"/>
    <x v="6"/>
  </r>
  <r>
    <s v="TRN-9084"/>
    <s v="CUST-1007"/>
    <s v="STO-01"/>
    <s v="EMP-0102"/>
    <s v="PROMO-00"/>
    <s v=" Cash "/>
    <n v="160"/>
    <s v="2022-07-17"/>
    <n v="7"/>
    <s v="Regular"/>
    <s v="Promoted"/>
    <s v="Known Employee"/>
    <n v="8"/>
    <x v="6"/>
  </r>
  <r>
    <s v="TRN-9682"/>
    <s v="CUST-1088"/>
    <s v="STO-02"/>
    <s v="EMP-0201"/>
    <s v="PROMO-03"/>
    <s v="Cash"/>
    <n v="499.7"/>
    <s v="2022-07-19"/>
    <n v="7"/>
    <s v="Regular"/>
    <s v="Promoted"/>
    <s v="Known Employee"/>
    <n v="3"/>
    <x v="6"/>
  </r>
  <r>
    <s v="TRN-9935"/>
    <s v="CUST-1007"/>
    <s v="STO-02"/>
    <s v="EMP-0201"/>
    <s v="PROMO-00"/>
    <s v="Debit Card"/>
    <n v="622"/>
    <s v="2022-07-20"/>
    <n v="7"/>
    <s v="Regular"/>
    <s v="Promoted"/>
    <s v="Known Employee"/>
    <n v="8"/>
    <x v="6"/>
  </r>
  <r>
    <s v="TRN-9922"/>
    <s v="CUST-1125"/>
    <s v="STO-01"/>
    <s v="EMP-0104"/>
    <s v="PROMO-02"/>
    <s v="Mobile Payment"/>
    <n v="399.6"/>
    <s v="2022-07-20"/>
    <n v="7"/>
    <s v="Regular"/>
    <s v="Promoted"/>
    <s v="Known Employee"/>
    <n v="3"/>
    <x v="6"/>
  </r>
  <r>
    <s v="TRN-9644"/>
    <s v="CUST-1034"/>
    <s v="STO-02"/>
    <s v="EMP-0201"/>
    <s v="PROMO-02"/>
    <s v="Debit Card"/>
    <n v="517.5"/>
    <s v="2022-07-21"/>
    <n v="7"/>
    <s v="Regular"/>
    <s v="Promoted"/>
    <s v="Known Employee"/>
    <n v="3"/>
    <x v="6"/>
  </r>
  <r>
    <s v="TRN-9744"/>
    <s v="CUST-1089"/>
    <s v="STO-04"/>
    <s v="EMP-0405"/>
    <s v="PROMO-02"/>
    <s v="Cash"/>
    <n v="445.5"/>
    <s v="2022-07-24"/>
    <n v="7"/>
    <s v="Regular"/>
    <s v="Promoted"/>
    <s v="Known Employee"/>
    <n v="7"/>
    <x v="6"/>
  </r>
  <r>
    <s v="TRN-9286"/>
    <s v="CUST-1037"/>
    <s v="STO-03"/>
    <s v="EMP-0305"/>
    <s v="No Promotion"/>
    <s v="Debit Card"/>
    <n v="595"/>
    <s v="2022-07-28"/>
    <n v="7"/>
    <s v="Regular"/>
    <s v="Not Promoted"/>
    <s v="Known Employee"/>
    <n v="3"/>
    <x v="6"/>
  </r>
  <r>
    <s v="TRN-9745"/>
    <s v="CUST-1052"/>
    <s v="STO-03"/>
    <s v="EMP-0301"/>
    <s v="PROMO-03"/>
    <s v="Credit Card"/>
    <n v="66.5"/>
    <s v="2022-07-29"/>
    <n v="7"/>
    <s v="Regular"/>
    <s v="Promoted"/>
    <s v="Known Employee"/>
    <n v="2"/>
    <x v="6"/>
  </r>
  <r>
    <s v="TRN-9072"/>
    <s v="CUST-1139"/>
    <s v="STO-01"/>
    <s v="EMP-0104"/>
    <s v="PROMO-01"/>
    <s v="Cash"/>
    <n v="267.75"/>
    <s v="2022-07-30"/>
    <n v="7"/>
    <s v="Regular"/>
    <s v="Promoted"/>
    <s v="Known Employee"/>
    <n v="3"/>
    <x v="6"/>
  </r>
  <r>
    <s v="TRN-9539"/>
    <s v="CUST-1013"/>
    <s v=" STO-03 "/>
    <s v="Unknown"/>
    <s v="PROMO-03"/>
    <s v="Unknown"/>
    <n v="147.25"/>
    <s v="2022-07-31"/>
    <n v="7"/>
    <s v="Regular"/>
    <s v="Promoted"/>
    <s v="UnKnown Employee"/>
    <n v="6"/>
    <x v="6"/>
  </r>
  <r>
    <s v="TRN-9030"/>
    <s v="CUST-1150"/>
    <s v="STO-02"/>
    <s v="EMP-0203"/>
    <s v="PROMO-02"/>
    <s v=" Mobile Payment "/>
    <n v="318.60000000000002"/>
    <s v="2022-07-31"/>
    <n v="7"/>
    <s v="Regular"/>
    <s v="Promoted"/>
    <s v="Known Employee"/>
    <n v="3"/>
    <x v="6"/>
  </r>
  <r>
    <s v="TRN-9824"/>
    <s v="CUST-1156"/>
    <s v="STO-04"/>
    <s v="EMP-0403"/>
    <s v="PROMO-00"/>
    <s v="Cash"/>
    <n v="360"/>
    <s v="2022-07-31"/>
    <n v="7"/>
    <s v="Regular"/>
    <s v="Promoted"/>
    <s v="Known Employee"/>
    <n v="3"/>
    <x v="6"/>
  </r>
  <r>
    <s v="TRN-9070"/>
    <s v="CUST-1015"/>
    <s v="STO-01"/>
    <s v=" EMP-0104 "/>
    <s v="PROMO-00"/>
    <s v="Cash"/>
    <n v="610"/>
    <s v="2022-08-01"/>
    <n v="8"/>
    <s v="Rakshabandhan"/>
    <s v="Promoted"/>
    <s v="Known Employee"/>
    <n v="6"/>
    <x v="7"/>
  </r>
  <r>
    <s v="TRN-9417"/>
    <s v="CUST-1035"/>
    <s v="STO-01"/>
    <s v="Unknown"/>
    <s v="PROMO-00"/>
    <s v="Credit Card"/>
    <n v="525"/>
    <s v="2022-08-01"/>
    <n v="8"/>
    <s v="Rakshabandhan"/>
    <s v="Promoted"/>
    <s v="UnKnown Employee"/>
    <n v="2"/>
    <x v="7"/>
  </r>
  <r>
    <s v="TRN-9045"/>
    <s v="CUST-1186"/>
    <s v="STO-04"/>
    <s v="EMP-0405"/>
    <s v="PROMO-01"/>
    <s v="Credit Card"/>
    <n v="334.9"/>
    <s v="2022-08-02"/>
    <n v="8"/>
    <s v="Rakshabandhan"/>
    <s v="Promoted"/>
    <s v="Known Employee"/>
    <n v="4"/>
    <x v="7"/>
  </r>
  <r>
    <s v="TRN-9527"/>
    <s v="CUST-1166"/>
    <s v="STO-02"/>
    <s v="EMP-0202"/>
    <s v="No Promotion"/>
    <s v="Credit Card"/>
    <n v="80"/>
    <s v="2022-08-06"/>
    <n v="8"/>
    <s v="Rakshabandhan"/>
    <s v="Not Promoted"/>
    <s v="Known Employee"/>
    <n v="5"/>
    <x v="7"/>
  </r>
  <r>
    <s v="TRN-9227"/>
    <s v="CUST-1085"/>
    <s v="STO-04"/>
    <s v="EMP-0405"/>
    <s v="PROMO-00"/>
    <s v="Credit Card"/>
    <n v="100"/>
    <s v="2022-08-08"/>
    <n v="8"/>
    <s v="Rakshabandhan"/>
    <s v="Promoted"/>
    <s v="Known Employee"/>
    <n v="2"/>
    <x v="7"/>
  </r>
  <r>
    <s v="TRN-9561"/>
    <s v="CUST-1200"/>
    <s v="STO-03"/>
    <s v="EMP-0304"/>
    <s v="PROMO-01"/>
    <s v="Credit Card"/>
    <n v="377.4"/>
    <s v="2022-08-13"/>
    <n v="8"/>
    <s v="Rakshabandhan"/>
    <s v="Promoted"/>
    <s v="Known Employee"/>
    <n v="6"/>
    <x v="7"/>
  </r>
  <r>
    <s v="TRN-9785"/>
    <s v="CUST-1040"/>
    <s v="STO-03"/>
    <s v="EMP-0305"/>
    <s v="PROMO-01"/>
    <s v="Debit Card"/>
    <n v="313.64999999999998"/>
    <s v="2022-08-17"/>
    <n v="8"/>
    <s v="Rakshabandhan"/>
    <s v="Promoted"/>
    <s v="Known Employee"/>
    <n v="5"/>
    <x v="7"/>
  </r>
  <r>
    <s v="TRN-9603"/>
    <s v=" CUST-1187 "/>
    <s v="STO-02"/>
    <s v="EMP-0203"/>
    <s v="PROMO-00"/>
    <s v="Cash"/>
    <n v="150"/>
    <s v="2022-08-22"/>
    <n v="8"/>
    <s v="Rakshabandhan"/>
    <s v="Promoted"/>
    <s v="Known Employee"/>
    <n v="1"/>
    <x v="7"/>
  </r>
  <r>
    <s v="TRN-9314"/>
    <s v="CUST-1131"/>
    <s v="STO-03"/>
    <s v="EMP-0304"/>
    <s v="PROMO-00"/>
    <s v="Mobile Payment"/>
    <n v="290"/>
    <s v="2022-08-22"/>
    <n v="8"/>
    <s v="Rakshabandhan"/>
    <s v="Promoted"/>
    <s v="Known Employee"/>
    <n v="7"/>
    <x v="7"/>
  </r>
  <r>
    <s v="TRN-9740"/>
    <s v=" CUST-1055 "/>
    <s v="STO-04"/>
    <s v="EMP-0402"/>
    <s v=" PROMO-00 "/>
    <s v="Debit Card"/>
    <n v="420"/>
    <s v="2022-08-26"/>
    <n v="8"/>
    <s v="Rakshabandhan"/>
    <s v="Promoted"/>
    <s v="Known Employee"/>
    <n v="2"/>
    <x v="7"/>
  </r>
  <r>
    <s v="TRN-9929"/>
    <s v="CUST-1114"/>
    <s v="STO-01"/>
    <s v="EMP-0102"/>
    <s v="PROMO-01"/>
    <s v="Cash"/>
    <n v="119"/>
    <s v="2022-08-27"/>
    <n v="8"/>
    <s v="Rakshabandhan"/>
    <s v="Promoted"/>
    <s v="Known Employee"/>
    <n v="4"/>
    <x v="7"/>
  </r>
  <r>
    <s v="TRN-9173"/>
    <s v="CUST-1123"/>
    <s v="STO-02"/>
    <s v="EMP-0201"/>
    <s v="PROMO-01"/>
    <s v="Debit Card"/>
    <n v="293.25"/>
    <s v="2022-08-27"/>
    <n v="8"/>
    <s v="Rakshabandhan"/>
    <s v="Promoted"/>
    <s v="Known Employee"/>
    <n v="3"/>
    <x v="7"/>
  </r>
  <r>
    <s v="TRN-9319"/>
    <s v="CUST-1086"/>
    <s v="STO-04"/>
    <s v="EMP-0401"/>
    <s v="PROMO-00"/>
    <s v="Mobile Payment"/>
    <n v="360"/>
    <s v="2022-08-28"/>
    <n v="8"/>
    <s v="Rakshabandhan"/>
    <s v="Promoted"/>
    <s v="Known Employee"/>
    <n v="8"/>
    <x v="7"/>
  </r>
  <r>
    <s v=" TRN-9425 "/>
    <s v="CUST-1014"/>
    <s v="STO-03"/>
    <s v="EMP-0304"/>
    <s v="PROMO-00"/>
    <s v="Debit Card"/>
    <n v="165"/>
    <s v="2022-08-30"/>
    <n v="8"/>
    <s v="Rakshabandhan"/>
    <s v="Promoted"/>
    <s v="Known Employee"/>
    <n v="5"/>
    <x v="7"/>
  </r>
  <r>
    <s v="TRN-9303"/>
    <s v="CUST-1143"/>
    <s v="STO-04"/>
    <s v="EMP-0401"/>
    <s v="PROMO-00"/>
    <s v="Cash"/>
    <n v="55"/>
    <s v="2022-08-30"/>
    <n v="8"/>
    <s v="Rakshabandhan"/>
    <s v="Promoted"/>
    <s v="Known Employee"/>
    <n v="3"/>
    <x v="7"/>
  </r>
  <r>
    <s v="TRN-9936"/>
    <s v="CUST-1064"/>
    <s v="STO-01"/>
    <s v="EMP-0102"/>
    <s v="PROMO-00"/>
    <s v="Credit Card"/>
    <n v="143"/>
    <s v="2022-08-31"/>
    <n v="8"/>
    <s v="Rakshabandhan"/>
    <s v="Promoted"/>
    <s v="Known Employee"/>
    <n v="3"/>
    <x v="7"/>
  </r>
  <r>
    <s v="TRN-9490"/>
    <s v="CUST-1064"/>
    <s v="STO-04"/>
    <s v="EMP-0402"/>
    <s v="PROMO-00"/>
    <s v="Debit Card"/>
    <n v="475"/>
    <s v="2022-09-01"/>
    <n v="9"/>
    <s v="Navratri"/>
    <s v="Promoted"/>
    <s v="Known Employee"/>
    <n v="3"/>
    <x v="8"/>
  </r>
  <r>
    <s v="TRN-9594"/>
    <s v="CUST-1040"/>
    <s v="STO-03"/>
    <s v="EMP-0304"/>
    <s v="No Promotion"/>
    <s v="Mobile Payment"/>
    <n v="375"/>
    <s v="2022-09-02"/>
    <n v="9"/>
    <s v="Navratri"/>
    <s v="Not Promoted"/>
    <s v="Known Employee"/>
    <n v="5"/>
    <x v="8"/>
  </r>
  <r>
    <s v="TRN-9619"/>
    <s v="CUST-1197"/>
    <s v="STO-02"/>
    <s v="EMP-0204"/>
    <s v="PROMO-00"/>
    <s v="Debit Card"/>
    <n v="235"/>
    <s v="2022-09-03"/>
    <n v="9"/>
    <s v="Navratri"/>
    <s v="Promoted"/>
    <s v="Known Employee"/>
    <n v="4"/>
    <x v="8"/>
  </r>
  <r>
    <s v="TRN-9454"/>
    <s v="CUST-1032"/>
    <s v="STO-04"/>
    <s v=" EMP-0402 "/>
    <s v="PROMO-00"/>
    <s v="Mobile Payment"/>
    <n v="524"/>
    <s v="2022-09-05"/>
    <n v="9"/>
    <s v="Navratri"/>
    <s v="Promoted"/>
    <s v="Known Employee"/>
    <n v="6"/>
    <x v="8"/>
  </r>
  <r>
    <s v="TRN-9853"/>
    <s v="CUST-1030"/>
    <s v="STO-04"/>
    <s v=" EMP-0401 "/>
    <s v="PROMO-00"/>
    <s v="Credit Card"/>
    <n v="55"/>
    <s v="2022-09-08"/>
    <n v="9"/>
    <s v="Navratri"/>
    <s v="Promoted"/>
    <s v="Known Employee"/>
    <n v="6"/>
    <x v="8"/>
  </r>
  <r>
    <s v="TRN-9753"/>
    <s v="CUST-1024"/>
    <s v="STO-03"/>
    <s v="EMP-0301"/>
    <s v="PROMO-00"/>
    <s v="Cash"/>
    <n v="285"/>
    <s v="2022-09-09"/>
    <n v="9"/>
    <s v="Navratri"/>
    <s v="Promoted"/>
    <s v="Known Employee"/>
    <n v="4"/>
    <x v="8"/>
  </r>
  <r>
    <s v="TRN-9704"/>
    <s v="CUST-1020"/>
    <s v="STO-03"/>
    <s v="EMP-0301"/>
    <s v="PROMO-00"/>
    <s v="Cash"/>
    <n v="525"/>
    <s v="2022-09-11"/>
    <n v="9"/>
    <s v="Navratri"/>
    <s v="Promoted"/>
    <s v="Known Employee"/>
    <n v="6"/>
    <x v="8"/>
  </r>
  <r>
    <s v="TRN-9501"/>
    <s v="CUST-1172"/>
    <s v="STO-04"/>
    <s v="EMP-0404"/>
    <s v="PROMO-03"/>
    <s v="Mobile Payment"/>
    <n v="193.8"/>
    <s v="2022-09-11"/>
    <n v="9"/>
    <s v="Navratri"/>
    <s v="Promoted"/>
    <s v="Known Employee"/>
    <n v="4"/>
    <x v="8"/>
  </r>
  <r>
    <s v="TRN-9399"/>
    <s v="CUST-1006"/>
    <s v="STO-03"/>
    <s v="EMP-0305"/>
    <s v="PROMO-01"/>
    <s v="Credit Card"/>
    <n v="565.25"/>
    <s v="2022-09-14"/>
    <n v="9"/>
    <s v="Navratri"/>
    <s v="Promoted"/>
    <s v="Known Employee"/>
    <n v="4"/>
    <x v="8"/>
  </r>
  <r>
    <s v="TRN-9607"/>
    <s v="CUST-1082"/>
    <s v="STO-03"/>
    <s v="EMP-0302"/>
    <s v="PROMO-00"/>
    <s v="Debit Card"/>
    <n v="361"/>
    <s v="2022-09-15"/>
    <n v="9"/>
    <s v="Navratri"/>
    <s v="Promoted"/>
    <s v="Known Employee"/>
    <n v="5"/>
    <x v="8"/>
  </r>
  <r>
    <s v="TRN-9797"/>
    <s v="CUST-1086"/>
    <s v="STO-02"/>
    <s v="EMP-0201"/>
    <s v="PROMO-00"/>
    <s v="Credit Card"/>
    <n v="330"/>
    <s v="2022-09-15"/>
    <n v="9"/>
    <s v="Navratri"/>
    <s v="Promoted"/>
    <s v="Known Employee"/>
    <n v="8"/>
    <x v="8"/>
  </r>
  <r>
    <s v="TRN-9373"/>
    <s v="CUST-1103"/>
    <s v="STO-03"/>
    <s v="EMP-0305"/>
    <s v="PROMO-00"/>
    <s v="Debit Card"/>
    <n v="340"/>
    <s v="2022-09-15"/>
    <n v="9"/>
    <s v="Navratri"/>
    <s v="Promoted"/>
    <s v="Known Employee"/>
    <n v="3"/>
    <x v="8"/>
  </r>
  <r>
    <s v="TRN-9549"/>
    <s v="CUST-1067"/>
    <s v=" STO-04 "/>
    <s v="EMP-0405"/>
    <s v="PROMO-03"/>
    <s v="Credit Card"/>
    <n v="413.25"/>
    <s v="2022-09-16"/>
    <n v="9"/>
    <s v="Navratri"/>
    <s v="Promoted"/>
    <s v="Known Employee"/>
    <n v="4"/>
    <x v="8"/>
  </r>
  <r>
    <s v="TRN-9510"/>
    <s v=" CUST-1059 "/>
    <s v="STO-01"/>
    <s v="EMP-0104"/>
    <s v=" PROMO-00 "/>
    <s v="Unknown"/>
    <n v="285"/>
    <s v="2022-09-19"/>
    <n v="9"/>
    <s v="Navratri"/>
    <s v="Promoted"/>
    <s v="Known Employee"/>
    <n v="1"/>
    <x v="8"/>
  </r>
  <r>
    <s v="TRN-9754"/>
    <s v="CUST-1017"/>
    <s v="STO-04"/>
    <s v=" EMP-0403 "/>
    <s v="PROMO-00"/>
    <s v="Debit Card"/>
    <n v="493"/>
    <s v="2022-09-22"/>
    <n v="9"/>
    <s v="Navratri"/>
    <s v="Promoted"/>
    <s v="Known Employee"/>
    <n v="6"/>
    <x v="8"/>
  </r>
  <r>
    <s v=" TRN-9787 "/>
    <s v="CUST-1081"/>
    <s v="STO-02"/>
    <s v="EMP-0203"/>
    <s v="PROMO-00"/>
    <s v="Debit Card"/>
    <n v="116"/>
    <s v="2022-09-25"/>
    <n v="9"/>
    <s v="Navratri"/>
    <s v="Promoted"/>
    <s v="Known Employee"/>
    <n v="4"/>
    <x v="8"/>
  </r>
  <r>
    <s v="TRN-9017"/>
    <s v="CUST-1089"/>
    <s v="STO-01"/>
    <s v="EMP-0105"/>
    <s v="PROMO-00"/>
    <s v="Mobile Payment"/>
    <n v="220"/>
    <s v="2022-09-26"/>
    <n v="9"/>
    <s v="Navratri"/>
    <s v="Promoted"/>
    <s v="Known Employee"/>
    <n v="7"/>
    <x v="8"/>
  </r>
  <r>
    <s v="TRN-9689"/>
    <s v="CUST-1025"/>
    <s v="STO-04"/>
    <s v="EMP-0403"/>
    <s v=" PROMO-00 "/>
    <s v="Cash"/>
    <n v="204"/>
    <s v="2022-09-28"/>
    <n v="9"/>
    <s v="Navratri"/>
    <s v="Promoted"/>
    <s v="Known Employee"/>
    <n v="5"/>
    <x v="8"/>
  </r>
  <r>
    <s v="TRN-9918"/>
    <s v="CUST-1007"/>
    <s v="STO-04"/>
    <s v="EMP-0401"/>
    <s v="PROMO-00"/>
    <s v="Credit Card"/>
    <n v="420"/>
    <s v="2022-09-30"/>
    <n v="9"/>
    <s v="Navratri"/>
    <s v="Promoted"/>
    <s v="Known Employee"/>
    <n v="8"/>
    <x v="8"/>
  </r>
  <r>
    <s v="TRN-9123"/>
    <s v="CUST-1161"/>
    <s v="STO-01"/>
    <s v="Unknown"/>
    <s v="PROMO-00"/>
    <s v="Cash"/>
    <n v="390"/>
    <s v="2022-10-03"/>
    <n v="10"/>
    <s v="Diwali"/>
    <s v="Promoted"/>
    <s v="UnKnown Employee"/>
    <n v="4"/>
    <x v="9"/>
  </r>
  <r>
    <s v="TRN-9793"/>
    <s v="CUST-1187"/>
    <s v="STO-03"/>
    <s v="EMP-0303"/>
    <s v=" PROMO-02 "/>
    <s v="Cash"/>
    <n v="207"/>
    <s v="2022-10-06"/>
    <n v="10"/>
    <s v="Diwali"/>
    <s v="Promoted"/>
    <s v="Known Employee"/>
    <n v="4"/>
    <x v="9"/>
  </r>
  <r>
    <s v="TRN-9580"/>
    <s v="CUST-1020"/>
    <s v="STO-03"/>
    <s v="EMP-0305"/>
    <s v="PROMO-01"/>
    <s v="Debit Card"/>
    <n v="221"/>
    <s v="2022-10-07"/>
    <n v="10"/>
    <s v="Diwali"/>
    <s v="Promoted"/>
    <s v="Known Employee"/>
    <n v="6"/>
    <x v="9"/>
  </r>
  <r>
    <s v="TRN-9105"/>
    <s v="CUST-1174"/>
    <s v="STO-04"/>
    <s v="EMP-0405"/>
    <s v="PROMO-00"/>
    <s v="Mobile Payment"/>
    <n v="745"/>
    <s v="2022-10-08"/>
    <n v="10"/>
    <s v="Diwali"/>
    <s v="Promoted"/>
    <s v="Known Employee"/>
    <n v="4"/>
    <x v="9"/>
  </r>
  <r>
    <s v="TRN-9381"/>
    <s v="CUST-1161"/>
    <s v="STO-02"/>
    <s v="EMP-0205"/>
    <s v="PROMO-00"/>
    <s v="Cash"/>
    <n v="415"/>
    <s v="2022-10-09"/>
    <n v="10"/>
    <s v="Diwali"/>
    <s v="Promoted"/>
    <s v="Known Employee"/>
    <n v="4"/>
    <x v="9"/>
  </r>
  <r>
    <s v="TRN-9836"/>
    <s v="CUST-1053"/>
    <s v="STO-03"/>
    <s v="EMP-0304"/>
    <s v="PROMO-00"/>
    <s v="Debit Card"/>
    <n v="642"/>
    <s v="2022-10-10"/>
    <n v="10"/>
    <s v="Diwali"/>
    <s v="Promoted"/>
    <s v="Known Employee"/>
    <n v="5"/>
    <x v="9"/>
  </r>
  <r>
    <s v="TRN-9808"/>
    <s v="CUST-1183"/>
    <s v="STO-01"/>
    <s v="Unknown"/>
    <s v=" PROMO-03 "/>
    <s v="Credit Card"/>
    <n v="460.75"/>
    <s v="2022-10-10"/>
    <n v="10"/>
    <s v="Diwali"/>
    <s v="Promoted"/>
    <s v="UnKnown Employee"/>
    <n v="3"/>
    <x v="9"/>
  </r>
  <r>
    <s v="TRN-9771"/>
    <s v="CUST-1179"/>
    <s v="STO-02"/>
    <s v="EMP-0203"/>
    <s v="PROMO-00"/>
    <s v=" Cash "/>
    <n v="605"/>
    <s v="2022-10-14"/>
    <n v="10"/>
    <s v="Diwali"/>
    <s v="Promoted"/>
    <s v="Known Employee"/>
    <n v="7"/>
    <x v="9"/>
  </r>
  <r>
    <s v="TRN-9657"/>
    <s v="CUST-1082"/>
    <s v="STO-01"/>
    <s v="EMP-0104"/>
    <s v="PROMO-00"/>
    <s v="Mobile Payment"/>
    <n v="628"/>
    <s v="2022-10-18"/>
    <n v="10"/>
    <s v="Diwali"/>
    <s v="Promoted"/>
    <s v="Known Employee"/>
    <n v="5"/>
    <x v="9"/>
  </r>
  <r>
    <s v="TRN-9035"/>
    <s v="CUST-1196"/>
    <s v="STO-02"/>
    <s v="EMP-0202"/>
    <s v="PROMO-00"/>
    <s v="Debit Card"/>
    <n v="183"/>
    <s v="2022-10-21"/>
    <n v="10"/>
    <s v="Diwali"/>
    <s v="Promoted"/>
    <s v="Known Employee"/>
    <n v="5"/>
    <x v="9"/>
  </r>
  <r>
    <s v="TRN-9970"/>
    <s v="CUST-1190"/>
    <s v=" STO-04 "/>
    <s v="EMP-0403"/>
    <s v="PROMO-00"/>
    <s v="Mobile Payment"/>
    <n v="295"/>
    <s v="2022-11-02"/>
    <n v="11"/>
    <s v="Diwali"/>
    <s v="Promoted"/>
    <s v="Known Employee"/>
    <n v="6"/>
    <x v="10"/>
  </r>
  <r>
    <s v="TRN-9778"/>
    <s v="CUST-1030"/>
    <s v="STO-04"/>
    <s v="EMP-0404"/>
    <s v="PROMO-00"/>
    <s v="Debit Card"/>
    <n v="70"/>
    <s v="2022-11-04"/>
    <n v="11"/>
    <s v="Diwali"/>
    <s v="Promoted"/>
    <s v="Known Employee"/>
    <n v="6"/>
    <x v="10"/>
  </r>
  <r>
    <s v="TRN-9602"/>
    <s v="CUST-1104"/>
    <s v="STO-02"/>
    <s v="EMP-0203"/>
    <s v="PROMO-00"/>
    <s v="Cash"/>
    <n v="181"/>
    <s v="2022-11-04"/>
    <n v="11"/>
    <s v="Diwali"/>
    <s v="Promoted"/>
    <s v="Known Employee"/>
    <n v="6"/>
    <x v="10"/>
  </r>
  <r>
    <s v="TRN-9556"/>
    <s v="CUST-1143"/>
    <s v="STO-04"/>
    <s v="EMP-0405"/>
    <s v=" PROMO-00 "/>
    <s v="Credit Card"/>
    <n v="175"/>
    <s v="2022-11-05"/>
    <n v="11"/>
    <s v="Diwali"/>
    <s v="Promoted"/>
    <s v="Known Employee"/>
    <n v="3"/>
    <x v="10"/>
  </r>
  <r>
    <s v="TRN-9930"/>
    <s v="CUST-1020"/>
    <s v="STO-02"/>
    <s v="EMP-0202"/>
    <s v="PROMO-00"/>
    <s v="Cash"/>
    <n v="650"/>
    <s v="2022-11-06"/>
    <n v="11"/>
    <s v="Diwali"/>
    <s v="Promoted"/>
    <s v="Known Employee"/>
    <n v="6"/>
    <x v="10"/>
  </r>
  <r>
    <s v="TRN-9851"/>
    <s v=" CUST-1137 "/>
    <s v="STO-04"/>
    <s v="EMP-0404"/>
    <s v="PROMO-00"/>
    <s v="Mobile Payment"/>
    <n v="316"/>
    <s v="2022-11-08"/>
    <n v="11"/>
    <s v="Diwali"/>
    <s v="Promoted"/>
    <s v="Known Employee"/>
    <n v="1"/>
    <x v="10"/>
  </r>
  <r>
    <s v="TRN-9386"/>
    <s v="CUST-1010"/>
    <s v="STO-01"/>
    <s v="EMP-0104"/>
    <s v="PROMO-00"/>
    <s v="Mobile Payment"/>
    <n v="581"/>
    <s v="2022-11-09"/>
    <n v="11"/>
    <s v="Diwali"/>
    <s v="Promoted"/>
    <s v="Known Employee"/>
    <n v="4"/>
    <x v="10"/>
  </r>
  <r>
    <s v="TRN-9141"/>
    <s v="CUST-1164"/>
    <s v="STO-02"/>
    <s v="EMP-0204"/>
    <s v="PROMO-00"/>
    <s v="Cash"/>
    <n v="605"/>
    <s v="2022-11-10"/>
    <n v="11"/>
    <s v="Diwali"/>
    <s v="Promoted"/>
    <s v="Known Employee"/>
    <n v="7"/>
    <x v="10"/>
  </r>
  <r>
    <s v="TRN-9827"/>
    <s v="CUST-1147"/>
    <s v="STO-03"/>
    <s v="EMP-0303"/>
    <s v="PROMO-00"/>
    <s v="Cash"/>
    <n v="445"/>
    <s v="2022-11-13"/>
    <n v="11"/>
    <s v="Diwali"/>
    <s v="Promoted"/>
    <s v="Known Employee"/>
    <n v="8"/>
    <x v="10"/>
  </r>
  <r>
    <s v="TRN-9703"/>
    <s v="CUST-1147"/>
    <s v="STO-04"/>
    <s v="EMP-0402"/>
    <s v="PROMO-00"/>
    <s v="Credit Card"/>
    <n v="720"/>
    <s v="2022-11-14"/>
    <n v="11"/>
    <s v="Diwali"/>
    <s v="Promoted"/>
    <s v="Known Employee"/>
    <n v="8"/>
    <x v="10"/>
  </r>
  <r>
    <s v="TRN-9789"/>
    <s v="CUST-1007"/>
    <s v=" STO-04 "/>
    <s v="EMP-0403"/>
    <s v="PROMO-03"/>
    <s v="Cash"/>
    <n v="193.8"/>
    <s v="2022-11-16"/>
    <n v="11"/>
    <s v="Diwali"/>
    <s v="Promoted"/>
    <s v="Known Employee"/>
    <n v="8"/>
    <x v="10"/>
  </r>
  <r>
    <s v="TRN-9641"/>
    <s v="CUST-1144"/>
    <s v="STO-03"/>
    <s v="Unknown"/>
    <s v="PROMO-00"/>
    <s v="Debit Card"/>
    <n v="437"/>
    <s v="2022-11-16"/>
    <n v="11"/>
    <s v="Diwali"/>
    <s v="Promoted"/>
    <s v="UnKnown Employee"/>
    <n v="2"/>
    <x v="10"/>
  </r>
  <r>
    <s v="TRN-9222"/>
    <s v="CUST-1190"/>
    <s v="STO-02"/>
    <s v="EMP-0204"/>
    <s v="PROMO-00"/>
    <s v="Mobile Payment"/>
    <n v="475"/>
    <s v="2022-11-17"/>
    <n v="11"/>
    <s v="Diwali"/>
    <s v="Promoted"/>
    <s v="Known Employee"/>
    <n v="6"/>
    <x v="10"/>
  </r>
  <r>
    <s v="TRN-9312"/>
    <s v="CUST-1081"/>
    <s v="STO-01"/>
    <s v="EMP-0102"/>
    <s v="PROMO-03"/>
    <s v="Credit Card"/>
    <n v="55.1"/>
    <s v="2022-11-21"/>
    <n v="11"/>
    <s v="Diwali"/>
    <s v="Promoted"/>
    <s v="Known Employee"/>
    <n v="4"/>
    <x v="10"/>
  </r>
  <r>
    <s v="TRN-9106"/>
    <s v="CUST-1030"/>
    <s v="STO-01"/>
    <s v="EMP-0105"/>
    <s v="PROMO-00"/>
    <s v="Cash"/>
    <n v="434"/>
    <s v="2022-11-22"/>
    <n v="11"/>
    <s v="Diwali"/>
    <s v="Promoted"/>
    <s v="Known Employee"/>
    <n v="6"/>
    <x v="10"/>
  </r>
  <r>
    <s v="TRN-9530"/>
    <s v="CUST-1166"/>
    <s v="STO-04"/>
    <s v="EMP-0405"/>
    <s v="PROMO-03"/>
    <s v="Debit Card"/>
    <n v="221.35"/>
    <s v="2022-12-02"/>
    <n v="12"/>
    <s v="Regular"/>
    <s v="Promoted"/>
    <s v="Known Employee"/>
    <n v="5"/>
    <x v="11"/>
  </r>
  <r>
    <s v="TRN-9904"/>
    <s v="CUST-1184"/>
    <s v="STO-04"/>
    <s v="EMP-0401"/>
    <s v="PROMO-03"/>
    <s v="Debit Card"/>
    <n v="294.5"/>
    <s v="2022-12-07"/>
    <n v="12"/>
    <s v="Regular"/>
    <s v="Promoted"/>
    <s v="Known Employee"/>
    <n v="4"/>
    <x v="11"/>
  </r>
  <r>
    <s v="TRN-9407"/>
    <s v="CUST-1195"/>
    <s v="STO-02"/>
    <s v="EMP-0203"/>
    <s v="PROMO-01"/>
    <s v="Cash"/>
    <n v="153"/>
    <s v="2022-12-08"/>
    <n v="12"/>
    <s v="Regular"/>
    <s v="Promoted"/>
    <s v="Known Employee"/>
    <n v="4"/>
    <x v="11"/>
  </r>
  <r>
    <s v="TRN-9074"/>
    <s v=" CUST-1021 "/>
    <s v="STO-04"/>
    <s v="EMP-0405"/>
    <s v="PROMO-00"/>
    <s v="Debit Card"/>
    <n v="300"/>
    <s v="2022-12-09"/>
    <n v="12"/>
    <s v="Regular"/>
    <s v="Promoted"/>
    <s v="Known Employee"/>
    <n v="1"/>
    <x v="11"/>
  </r>
  <r>
    <s v="TRN-9559"/>
    <s v="CUST-1074"/>
    <s v="STO-04"/>
    <s v="EMP-0402"/>
    <s v="PROMO-00"/>
    <s v="Unknown"/>
    <n v="360"/>
    <s v="2022-12-11"/>
    <n v="12"/>
    <s v="Regular"/>
    <s v="Promoted"/>
    <s v="Known Employee"/>
    <n v="6"/>
    <x v="11"/>
  </r>
  <r>
    <s v="TRN-9700"/>
    <s v="CUST-1050"/>
    <s v="STO-02"/>
    <s v="EMP-0205"/>
    <s v="No Promotion"/>
    <s v="Mobile Payment"/>
    <n v="160"/>
    <s v="2022-12-12"/>
    <n v="12"/>
    <s v="Regular"/>
    <s v="Not Promoted"/>
    <s v="Known Employee"/>
    <n v="6"/>
    <x v="11"/>
  </r>
  <r>
    <s v="TRN-9976"/>
    <s v="CUST-1112"/>
    <s v="STO-04"/>
    <s v="EMP-0401"/>
    <s v="PROMO-01"/>
    <s v="Debit Card"/>
    <n v="548.25"/>
    <s v="2022-12-12"/>
    <n v="12"/>
    <s v="Regular"/>
    <s v="Promoted"/>
    <s v="Known Employee"/>
    <n v="4"/>
    <x v="11"/>
  </r>
  <r>
    <s v="TRN-9498"/>
    <s v="CUST-1113"/>
    <s v="STO-04"/>
    <s v="EMP-0404"/>
    <s v="PROMO-00"/>
    <s v="Debit Card"/>
    <n v="204"/>
    <s v="2022-12-12"/>
    <n v="12"/>
    <s v="Regular"/>
    <s v="Promoted"/>
    <s v="Known Employee"/>
    <n v="5"/>
    <x v="11"/>
  </r>
  <r>
    <s v="TRN-9101"/>
    <s v="CUST-1104"/>
    <s v="STO-01"/>
    <s v="EMP-0103"/>
    <s v="PROMO-00"/>
    <s v="Credit Card"/>
    <n v="116"/>
    <s v="2022-12-14"/>
    <n v="12"/>
    <s v="Regular"/>
    <s v="Promoted"/>
    <s v="Known Employee"/>
    <n v="6"/>
    <x v="11"/>
  </r>
  <r>
    <s v="TRN-9911"/>
    <s v="CUST-1197"/>
    <s v="STO-02"/>
    <s v="EMP-0205"/>
    <s v="PROMO-01"/>
    <s v="Credit Card"/>
    <n v="370.6"/>
    <s v="2022-12-22"/>
    <n v="12"/>
    <s v="Regular"/>
    <s v="Promoted"/>
    <s v="Known Employee"/>
    <n v="4"/>
    <x v="11"/>
  </r>
  <r>
    <s v="TRN-9164"/>
    <s v="CUST-1029"/>
    <s v="STO-02"/>
    <s v="EMP-0204"/>
    <s v="PROMO-03"/>
    <s v="Mobile Payment"/>
    <n v="674.5"/>
    <s v="2022-12-23"/>
    <n v="12"/>
    <s v="Regular"/>
    <s v="Promoted"/>
    <s v="Known Employee"/>
    <n v="4"/>
    <x v="11"/>
  </r>
  <r>
    <s v="TRN-9881"/>
    <s v="CUST-1002"/>
    <s v="STO-03"/>
    <s v="EMP-0302"/>
    <s v="No Promotion"/>
    <s v="Debit Card"/>
    <n v="55"/>
    <s v="2022-12-25"/>
    <n v="12"/>
    <s v="Regular"/>
    <s v="Not Promoted"/>
    <s v="Known Employee"/>
    <n v="5"/>
    <x v="11"/>
  </r>
  <r>
    <s v="TRN-9165"/>
    <s v="CUST-1145"/>
    <s v="STO-02"/>
    <s v=" EMP-0202 "/>
    <s v="PROMO-00"/>
    <s v="Debit Card"/>
    <n v="335"/>
    <s v="2022-12-28"/>
    <n v="12"/>
    <s v="Regular"/>
    <s v="Promoted"/>
    <s v="Known Employee"/>
    <n v="3"/>
    <x v="11"/>
  </r>
  <r>
    <s v="TRN-9436"/>
    <s v="CUST-1031"/>
    <s v="STO-02"/>
    <s v="EMP-0204"/>
    <s v="PROMO-00"/>
    <s v="Debit Card"/>
    <n v="493"/>
    <s v="2022-12-29"/>
    <n v="12"/>
    <s v="Regular"/>
    <s v="Promoted"/>
    <s v="Known Employee"/>
    <n v="3"/>
    <x v="11"/>
  </r>
  <r>
    <s v="TRN-9279"/>
    <s v="CUST-1101"/>
    <s v="STO-02"/>
    <s v="EMP-0205"/>
    <s v="PROMO-00"/>
    <s v="Unknown"/>
    <n v="453"/>
    <s v="2022-12-29"/>
    <n v="12"/>
    <s v="Regular"/>
    <s v="Promoted"/>
    <s v="Known Employee"/>
    <n v="3"/>
    <x v="11"/>
  </r>
  <r>
    <s v="TRN-9612"/>
    <s v="CUST-1127"/>
    <s v="STO-03"/>
    <s v="EMP-0303"/>
    <s v="PROMO-00"/>
    <s v="Mobile Payment"/>
    <n v="68"/>
    <s v="2022-12-30"/>
    <n v="12"/>
    <s v="Regular"/>
    <s v="Promoted"/>
    <s v="Known Employee"/>
    <n v="5"/>
    <x v="11"/>
  </r>
  <r>
    <s v="TRN-9426"/>
    <s v="CUST-1089"/>
    <s v="STO-04"/>
    <s v="EMP-0403"/>
    <s v="PROMO-02"/>
    <s v="Credit Card"/>
    <n v="590.4"/>
    <s v="2022-12-31"/>
    <n v="12"/>
    <s v="Regular"/>
    <s v="Promoted"/>
    <s v="Known Employee"/>
    <n v="7"/>
    <x v="11"/>
  </r>
  <r>
    <s v="TRN-9119"/>
    <s v="CUST-1091"/>
    <s v="STO-03"/>
    <s v="EMP-0304"/>
    <s v="PROMO-00"/>
    <s v="Mobile Payment"/>
    <n v="210"/>
    <s v="2023-01-02"/>
    <n v="1"/>
    <s v="Makar Sankranti"/>
    <s v="Promoted"/>
    <s v="Known Employee"/>
    <n v="3"/>
    <x v="0"/>
  </r>
  <r>
    <s v="TRN-9339"/>
    <s v="CUST-1160"/>
    <s v="STO-02"/>
    <s v="EMP-0202"/>
    <s v="PROMO-01"/>
    <s v="Debit Card"/>
    <n v="136"/>
    <s v="2023-01-04"/>
    <n v="1"/>
    <s v="Makar Sankranti"/>
    <s v="Promoted"/>
    <s v="Known Employee"/>
    <n v="5"/>
    <x v="0"/>
  </r>
  <r>
    <s v="TRN-9013"/>
    <s v="CUST-1047"/>
    <s v="STO-03"/>
    <s v="EMP-0303"/>
    <s v=" PROMO-00 "/>
    <s v="Debit Card"/>
    <n v="305"/>
    <s v="2023-01-05"/>
    <n v="1"/>
    <s v="Makar Sankranti"/>
    <s v="Promoted"/>
    <s v="Known Employee"/>
    <n v="5"/>
    <x v="0"/>
  </r>
  <r>
    <s v="TRN-9297"/>
    <s v="CUST-1108"/>
    <s v="STO-03"/>
    <s v="EMP-0302"/>
    <s v="PROMO-00"/>
    <s v="Credit Card"/>
    <n v="190"/>
    <s v="2023-01-06"/>
    <n v="1"/>
    <s v="Makar Sankranti"/>
    <s v="Promoted"/>
    <s v="Known Employee"/>
    <n v="4"/>
    <x v="0"/>
  </r>
  <r>
    <s v="TRN-9944"/>
    <s v="CUST-1025"/>
    <s v="STO-02"/>
    <s v="EMP-0203"/>
    <s v="PROMO-00"/>
    <s v="Debit Card"/>
    <n v="195"/>
    <s v="2023-01-09"/>
    <n v="1"/>
    <s v="Makar Sankranti"/>
    <s v="Promoted"/>
    <s v="Known Employee"/>
    <n v="5"/>
    <x v="0"/>
  </r>
  <r>
    <s v="TRN-9458"/>
    <s v="CUST-1186"/>
    <s v="STO-02"/>
    <s v="EMP-0204"/>
    <s v="PROMO-00"/>
    <s v="Debit Card"/>
    <n v="210"/>
    <s v="2023-01-09"/>
    <n v="1"/>
    <s v="Makar Sankranti"/>
    <s v="Promoted"/>
    <s v="Known Employee"/>
    <n v="4"/>
    <x v="0"/>
  </r>
  <r>
    <s v="TRN-9223"/>
    <s v="CUST-1071"/>
    <s v="STO-01"/>
    <s v="EMP-0101"/>
    <s v="PROMO-00"/>
    <s v="Debit Card"/>
    <n v="170"/>
    <s v="2023-01-10"/>
    <n v="1"/>
    <s v="Makar Sankranti"/>
    <s v="Promoted"/>
    <s v="Known Employee"/>
    <n v="4"/>
    <x v="0"/>
  </r>
  <r>
    <s v="TRN-9867"/>
    <s v="CUST-1039"/>
    <s v="STO-04"/>
    <s v="EMP-0402"/>
    <s v="PROMO-00"/>
    <s v="Cash"/>
    <n v="260"/>
    <s v="2023-01-12"/>
    <n v="1"/>
    <s v="Makar Sankranti"/>
    <s v="Promoted"/>
    <s v="Known Employee"/>
    <n v="4"/>
    <x v="0"/>
  </r>
  <r>
    <s v="TRN-9931"/>
    <s v="CUST-1137"/>
    <s v="STO-04"/>
    <s v="EMP-0402"/>
    <s v="PROMO-00"/>
    <s v="Debit Card"/>
    <n v="195"/>
    <s v="2023-01-18"/>
    <n v="1"/>
    <s v="Makar Sankranti"/>
    <s v="Promoted"/>
    <s v="Known Employee"/>
    <n v="4"/>
    <x v="0"/>
  </r>
  <r>
    <s v="TRN-9129"/>
    <s v="CUST-1164"/>
    <s v="STO-02"/>
    <s v="EMP-0202"/>
    <s v="PROMO-03"/>
    <s v="Debit Card"/>
    <n v="288.8"/>
    <s v="2023-01-20"/>
    <n v="1"/>
    <s v="Makar Sankranti"/>
    <s v="Promoted"/>
    <s v="Known Employee"/>
    <n v="7"/>
    <x v="0"/>
  </r>
  <r>
    <s v="TRN-9540"/>
    <s v="CUST-1034"/>
    <s v="STO-02"/>
    <s v="Unknown"/>
    <s v="PROMO-00"/>
    <s v="Cash"/>
    <n v="460"/>
    <s v="2023-01-22"/>
    <n v="1"/>
    <s v="Makar Sankranti"/>
    <s v="Promoted"/>
    <s v="UnKnown Employee"/>
    <n v="3"/>
    <x v="0"/>
  </r>
  <r>
    <s v="TRN-9229"/>
    <s v="CUST-1094"/>
    <s v="STO-03"/>
    <s v="EMP-0303"/>
    <s v="PROMO-00"/>
    <s v="Mobile Payment"/>
    <n v="648"/>
    <s v="2023-01-26"/>
    <n v="1"/>
    <s v="Makar Sankranti"/>
    <s v="Promoted"/>
    <s v="Known Employee"/>
    <n v="5"/>
    <x v="0"/>
  </r>
  <r>
    <s v="TRN-9394"/>
    <s v="CUST-1164"/>
    <s v="STO-04"/>
    <s v="EMP-0403"/>
    <s v="PROMO-00"/>
    <s v="Mobile Payment"/>
    <n v="348"/>
    <s v="2023-01-27"/>
    <n v="1"/>
    <s v="Makar Sankranti"/>
    <s v="Promoted"/>
    <s v="Known Employee"/>
    <n v="7"/>
    <x v="0"/>
  </r>
  <r>
    <s v="TRN-9254"/>
    <s v="CUST-1085"/>
    <s v="STO-02"/>
    <s v="EMP-0202"/>
    <s v="PROMO-02"/>
    <s v="Debit Card"/>
    <n v="360"/>
    <s v="2023-02-03"/>
    <n v="2"/>
    <s v="Regular"/>
    <s v="Promoted"/>
    <s v="Known Employee"/>
    <n v="2"/>
    <x v="1"/>
  </r>
  <r>
    <s v="TRN-9459"/>
    <s v="CUST-1133"/>
    <s v="STO-03"/>
    <s v="EMP-0305"/>
    <s v=" PROMO-03 "/>
    <s v="Cash"/>
    <n v="483.55"/>
    <s v="2023-02-03"/>
    <n v="2"/>
    <s v="Regular"/>
    <s v="Promoted"/>
    <s v="Known Employee"/>
    <n v="4"/>
    <x v="1"/>
  </r>
  <r>
    <s v="TRN-9523"/>
    <s v="CUST-1187"/>
    <s v="STO-01"/>
    <s v="EMP-0103"/>
    <s v="PROMO-00"/>
    <s v="Debit Card"/>
    <n v="275"/>
    <s v="2023-02-06"/>
    <n v="2"/>
    <s v="Regular"/>
    <s v="Promoted"/>
    <s v="Known Employee"/>
    <n v="4"/>
    <x v="1"/>
  </r>
  <r>
    <s v="TRN-9449"/>
    <s v="CUST-1013"/>
    <s v="Unknown"/>
    <s v="EMP-0203"/>
    <s v="PROMO-00"/>
    <s v="Cash"/>
    <n v="65"/>
    <s v="2023-02-07"/>
    <n v="2"/>
    <s v="Regular"/>
    <s v="Promoted"/>
    <s v="Known Employee"/>
    <n v="6"/>
    <x v="1"/>
  </r>
  <r>
    <s v="TRN-9343"/>
    <s v="CUST-1131"/>
    <s v="Unknown"/>
    <s v="EMP-0201"/>
    <s v="PROMO-03"/>
    <s v="Mobile Payment"/>
    <n v="231.8"/>
    <s v="2023-02-07"/>
    <n v="2"/>
    <s v="Regular"/>
    <s v="Promoted"/>
    <s v="Known Employee"/>
    <n v="7"/>
    <x v="1"/>
  </r>
  <r>
    <s v="TRN-9283"/>
    <s v="CUST-1156"/>
    <s v="STO-03"/>
    <s v="EMP-0301"/>
    <s v="PROMO-00"/>
    <s v="Credit Card"/>
    <n v="426"/>
    <s v="2023-02-07"/>
    <n v="2"/>
    <s v="Regular"/>
    <s v="Promoted"/>
    <s v="Known Employee"/>
    <n v="3"/>
    <x v="1"/>
  </r>
  <r>
    <s v="TRN-9732"/>
    <s v="CUST-1059"/>
    <s v="STO-01"/>
    <s v="EMP-0101"/>
    <s v="No Promotion"/>
    <s v="Cash"/>
    <n v="120"/>
    <s v="2023-02-09"/>
    <n v="2"/>
    <s v="Regular"/>
    <s v="Not Promoted"/>
    <s v="Known Employee"/>
    <n v="3"/>
    <x v="1"/>
  </r>
  <r>
    <s v="TRN-9117"/>
    <s v="CUST-1138"/>
    <s v="STO-01"/>
    <s v="EMP-0103"/>
    <s v="PROMO-00"/>
    <s v="Mobile Payment"/>
    <n v="130"/>
    <s v="2023-02-10"/>
    <n v="2"/>
    <s v="Regular"/>
    <s v="Promoted"/>
    <s v="Known Employee"/>
    <n v="5"/>
    <x v="1"/>
  </r>
  <r>
    <s v="TRN-9537"/>
    <s v="CUST-1003"/>
    <s v=" STO-02 "/>
    <s v="EMP-0203"/>
    <s v="PROMO-03"/>
    <s v="Credit Card"/>
    <n v="494"/>
    <s v="2023-02-13"/>
    <n v="2"/>
    <s v="Regular"/>
    <s v="Promoted"/>
    <s v="Known Employee"/>
    <n v="6"/>
    <x v="1"/>
  </r>
  <r>
    <s v="TRN-9975"/>
    <s v="CUST-1022"/>
    <s v="STO-04"/>
    <s v="EMP-0401"/>
    <s v="PROMO-00"/>
    <s v="Cash"/>
    <n v="120"/>
    <s v="2023-02-14"/>
    <n v="2"/>
    <s v="Regular"/>
    <s v="Promoted"/>
    <s v="Known Employee"/>
    <n v="7"/>
    <x v="1"/>
  </r>
  <r>
    <s v="TRN-9848"/>
    <s v="CUST-1063"/>
    <s v="STO-02"/>
    <s v="EMP-0203"/>
    <s v=" PROMO-00 "/>
    <s v="Mobile Payment"/>
    <n v="435"/>
    <s v="2023-02-16"/>
    <n v="2"/>
    <s v="Regular"/>
    <s v="Promoted"/>
    <s v="Known Employee"/>
    <n v="3"/>
    <x v="1"/>
  </r>
  <r>
    <s v="TRN-9679"/>
    <s v="CUST-1179"/>
    <s v="STO-04"/>
    <s v="EMP-0405"/>
    <s v="PROMO-03"/>
    <s v="Cash"/>
    <n v="180.5"/>
    <s v="2023-02-18"/>
    <n v="2"/>
    <s v="Regular"/>
    <s v="Promoted"/>
    <s v="Known Employee"/>
    <n v="7"/>
    <x v="1"/>
  </r>
  <r>
    <s v="TRN-9299"/>
    <s v="CUST-1057"/>
    <s v="STO-04"/>
    <s v="EMP-0402"/>
    <s v="PROMO-00"/>
    <s v="Credit Card"/>
    <n v="120"/>
    <s v="2023-02-19"/>
    <n v="2"/>
    <s v="Regular"/>
    <s v="Promoted"/>
    <s v="Known Employee"/>
    <n v="2"/>
    <x v="1"/>
  </r>
  <r>
    <s v="TRN-9907"/>
    <s v=" CUST-1155 "/>
    <s v="STO-03"/>
    <s v="EMP-0302"/>
    <s v="PROMO-00"/>
    <s v="Mobile Payment"/>
    <n v="280"/>
    <s v="2023-02-20"/>
    <n v="2"/>
    <s v="Regular"/>
    <s v="Promoted"/>
    <s v="Known Employee"/>
    <n v="1"/>
    <x v="1"/>
  </r>
  <r>
    <s v="TRN-9631"/>
    <s v="CUST-1011"/>
    <s v="STO-01"/>
    <s v="EMP-0102"/>
    <s v="PROMO-00"/>
    <s v="Mobile Payment"/>
    <n v="260"/>
    <s v="2023-02-20"/>
    <n v="2"/>
    <s v="Regular"/>
    <s v="Promoted"/>
    <s v="Known Employee"/>
    <n v="4"/>
    <x v="1"/>
  </r>
  <r>
    <s v="TRN-9488"/>
    <s v="CUST-1191"/>
    <s v=" STO-03 "/>
    <s v="EMP-0302"/>
    <s v="PROMO-00"/>
    <s v="Mobile Payment"/>
    <n v="460"/>
    <s v="2023-02-21"/>
    <n v="2"/>
    <s v="Regular"/>
    <s v="Promoted"/>
    <s v="Known Employee"/>
    <n v="8"/>
    <x v="1"/>
  </r>
  <r>
    <s v="TRN-9566"/>
    <s v="CUST-1058"/>
    <s v="STO-03"/>
    <s v="EMP-0303"/>
    <s v="PROMO-00"/>
    <s v="Mobile Payment"/>
    <n v="456"/>
    <s v="2023-02-24"/>
    <n v="2"/>
    <s v="Regular"/>
    <s v="Promoted"/>
    <s v="Known Employee"/>
    <n v="7"/>
    <x v="1"/>
  </r>
  <r>
    <s v="TRN-9403"/>
    <s v="CUST-1170"/>
    <s v="STO-03"/>
    <s v="EMP-0305"/>
    <s v="PROMO-01"/>
    <s v="Debit Card"/>
    <n v="416.5"/>
    <s v="2023-02-25"/>
    <n v="2"/>
    <s v="Regular"/>
    <s v="Promoted"/>
    <s v="Known Employee"/>
    <n v="3"/>
    <x v="1"/>
  </r>
  <r>
    <s v="TRN-9604"/>
    <s v="CUST-1014"/>
    <s v="STO-01"/>
    <s v="EMP-0102"/>
    <s v="No Promotion"/>
    <s v=" Cash "/>
    <n v="625"/>
    <s v="2023-02-26"/>
    <n v="2"/>
    <s v="Regular"/>
    <s v="Not Promoted"/>
    <s v="Known Employee"/>
    <n v="5"/>
    <x v="1"/>
  </r>
  <r>
    <s v="TRN-9832"/>
    <s v="CUST-1115"/>
    <s v=" STO-03 "/>
    <s v="EMP-0304"/>
    <s v="PROMO-00"/>
    <s v="Cash"/>
    <n v="130"/>
    <s v="2023-02-26"/>
    <n v="2"/>
    <s v="Regular"/>
    <s v="Promoted"/>
    <s v="Known Employee"/>
    <n v="3"/>
    <x v="1"/>
  </r>
  <r>
    <s v="TRN-9041"/>
    <s v="CUST-1026"/>
    <s v="STO-02"/>
    <s v="EMP-0201"/>
    <s v="PROMO-00"/>
    <s v=" Credit Card "/>
    <n v="136"/>
    <s v="2023-03-02"/>
    <n v="3"/>
    <s v="Holi"/>
    <s v="Promoted"/>
    <s v="Known Employee"/>
    <n v="4"/>
    <x v="2"/>
  </r>
  <r>
    <s v="TRN-9656"/>
    <s v="CUST-1119"/>
    <s v="STO-01"/>
    <s v="EMP-0102"/>
    <s v="PROMO-00"/>
    <s v="Debit Card"/>
    <n v="204"/>
    <s v="2023-03-04"/>
    <n v="3"/>
    <s v="Holi"/>
    <s v="Promoted"/>
    <s v="Known Employee"/>
    <n v="6"/>
    <x v="2"/>
  </r>
  <r>
    <s v="TRN-9889"/>
    <s v="CUST-1090"/>
    <s v="STO-03"/>
    <s v="EMP-0304"/>
    <s v="PROMO-02"/>
    <s v="Credit Card"/>
    <n v="411.3"/>
    <s v="2023-03-05"/>
    <n v="3"/>
    <s v="Holi"/>
    <s v="Promoted"/>
    <s v="Known Employee"/>
    <n v="5"/>
    <x v="2"/>
  </r>
  <r>
    <s v="TRN-9941"/>
    <s v="CUST-1007"/>
    <s v="STO-04"/>
    <s v="Unknown"/>
    <s v="PROMO-00"/>
    <s v="Credit Card"/>
    <n v="80"/>
    <s v="2023-03-07"/>
    <n v="3"/>
    <s v="Holi"/>
    <s v="Promoted"/>
    <s v="UnKnown Employee"/>
    <n v="8"/>
    <x v="2"/>
  </r>
  <r>
    <s v="TRN-9926"/>
    <s v="CUST-1161"/>
    <s v="STO-03"/>
    <s v=" EMP-0301 "/>
    <s v="PROMO-00"/>
    <s v="Debit Card"/>
    <n v="120"/>
    <s v="2023-03-07"/>
    <n v="3"/>
    <s v="Holi"/>
    <s v="Promoted"/>
    <s v="Known Employee"/>
    <n v="4"/>
    <x v="2"/>
  </r>
  <r>
    <s v="TRN-9209"/>
    <s v=" CUST-1174 "/>
    <s v="STO-01"/>
    <s v="EMP-0103"/>
    <s v="PROMO-00"/>
    <s v="Mobile Payment"/>
    <n v="513"/>
    <s v="2023-03-08"/>
    <n v="3"/>
    <s v="Holi"/>
    <s v="Promoted"/>
    <s v="Known Employee"/>
    <n v="1"/>
    <x v="2"/>
  </r>
  <r>
    <s v="TRN-9453"/>
    <s v="CUST-1196"/>
    <s v="STO-04"/>
    <s v="EMP-0402"/>
    <s v="PROMO-00"/>
    <s v="Debit Card"/>
    <n v="481"/>
    <s v="2023-03-11"/>
    <n v="3"/>
    <s v="Holi"/>
    <s v="Promoted"/>
    <s v="Known Employee"/>
    <n v="5"/>
    <x v="2"/>
  </r>
  <r>
    <s v="TRN-9937"/>
    <s v="CUST-1013"/>
    <s v="STO-02"/>
    <s v="EMP-0205"/>
    <s v=" PROMO-00 "/>
    <s v="Debit Card"/>
    <n v="664"/>
    <s v="2023-03-13"/>
    <n v="3"/>
    <s v="Holi"/>
    <s v="Promoted"/>
    <s v="Known Employee"/>
    <n v="6"/>
    <x v="2"/>
  </r>
  <r>
    <s v="TRN-9470"/>
    <s v="CUST-1015"/>
    <s v="STO-03"/>
    <s v="EMP-0302"/>
    <s v="PROMO-00"/>
    <s v="Unknown"/>
    <n v="395"/>
    <s v="2023-03-14"/>
    <n v="3"/>
    <s v="Holi"/>
    <s v="Promoted"/>
    <s v="Known Employee"/>
    <n v="6"/>
    <x v="2"/>
  </r>
  <r>
    <s v="TRN-9162"/>
    <s v="CUST-1028"/>
    <s v="STO-04"/>
    <s v="EMP-0401"/>
    <s v="PROMO-00"/>
    <s v="Mobile Payment"/>
    <n v="235"/>
    <s v="2023-03-14"/>
    <n v="3"/>
    <s v="Holi"/>
    <s v="Promoted"/>
    <s v="Known Employee"/>
    <n v="4"/>
    <x v="2"/>
  </r>
  <r>
    <s v="TRN-9804"/>
    <s v="CUST-1108"/>
    <s v="STO-02"/>
    <s v="EMP-0202"/>
    <s v="PROMO-00"/>
    <s v="Debit Card"/>
    <n v="50"/>
    <s v="2023-03-14"/>
    <n v="3"/>
    <s v="Holi"/>
    <s v="Promoted"/>
    <s v="Known Employee"/>
    <n v="4"/>
    <x v="2"/>
  </r>
  <r>
    <s v="TRN-9626"/>
    <s v="CUST-1186"/>
    <s v="STO-04"/>
    <s v="EMP-0401"/>
    <s v="PROMO-03"/>
    <s v="Cash"/>
    <n v="302.10000000000002"/>
    <s v="2023-03-14"/>
    <n v="3"/>
    <s v="Holi"/>
    <s v="Promoted"/>
    <s v="Known Employee"/>
    <n v="4"/>
    <x v="2"/>
  </r>
  <r>
    <s v="TRN-9933"/>
    <s v="CUST-1193"/>
    <s v="STO-01"/>
    <s v="EMP-0101"/>
    <s v="PROMO-00"/>
    <s v="Debit Card"/>
    <n v="750"/>
    <s v="2023-03-16"/>
    <n v="3"/>
    <s v="Holi"/>
    <s v="Promoted"/>
    <s v="Known Employee"/>
    <n v="5"/>
    <x v="2"/>
  </r>
  <r>
    <s v="TRN-9964"/>
    <s v="CUST-1198"/>
    <s v="STO-03"/>
    <s v="EMP-0303"/>
    <s v="PROMO-00"/>
    <s v="Credit Card"/>
    <n v="230"/>
    <s v="2023-03-17"/>
    <n v="3"/>
    <s v="Holi"/>
    <s v="Promoted"/>
    <s v="Known Employee"/>
    <n v="1"/>
    <x v="2"/>
  </r>
  <r>
    <s v="TRN-9858"/>
    <s v="CUST-1124"/>
    <s v="STO-03"/>
    <s v="EMP-0305"/>
    <s v=" PROMO-01 "/>
    <s v="Debit Card"/>
    <n v="487.9"/>
    <s v="2023-03-18"/>
    <n v="3"/>
    <s v="Holi"/>
    <s v="Promoted"/>
    <s v="Known Employee"/>
    <n v="4"/>
    <x v="2"/>
  </r>
  <r>
    <s v="TRN-9777"/>
    <s v="CUST-1154"/>
    <s v="STO-04"/>
    <s v="EMP-0405"/>
    <s v="PROMO-00"/>
    <s v="Mobile Payment"/>
    <n v="268"/>
    <s v="2023-03-20"/>
    <n v="3"/>
    <s v="Holi"/>
    <s v="Promoted"/>
    <s v="Known Employee"/>
    <n v="2"/>
    <x v="2"/>
  </r>
  <r>
    <s v="TRN-9599"/>
    <s v="CUST-1128"/>
    <s v="STO-02"/>
    <s v="EMP-0204"/>
    <s v="PROMO-01"/>
    <s v="Cash"/>
    <n v="232.9"/>
    <s v="2023-03-23"/>
    <n v="3"/>
    <s v="Holi"/>
    <s v="Promoted"/>
    <s v="Known Employee"/>
    <n v="6"/>
    <x v="2"/>
  </r>
  <r>
    <s v="TRN-9902"/>
    <s v="CUST-1073"/>
    <s v="STO-04"/>
    <s v="EMP-0405"/>
    <s v="PROMO-00"/>
    <s v="Debit Card"/>
    <n v="426"/>
    <s v="2023-03-24"/>
    <n v="3"/>
    <s v="Holi"/>
    <s v="Promoted"/>
    <s v="Known Employee"/>
    <n v="1"/>
    <x v="2"/>
  </r>
  <r>
    <s v=" TRN-9188 "/>
    <s v="CUST-1065"/>
    <s v="STO-03"/>
    <s v="EMP-0302"/>
    <s v="PROMO-00"/>
    <s v=" Debit Card "/>
    <n v="649"/>
    <s v="2023-04-04"/>
    <n v="4"/>
    <s v="Regular"/>
    <s v="Promoted"/>
    <s v="Known Employee"/>
    <n v="9"/>
    <x v="3"/>
  </r>
  <r>
    <s v="TRN-9271"/>
    <s v="CUST-1080"/>
    <s v="STO-02"/>
    <s v="EMP-0204"/>
    <s v="PROMO-03"/>
    <s v="Credit Card"/>
    <n v="422.75"/>
    <s v="2023-04-04"/>
    <n v="4"/>
    <s v="Regular"/>
    <s v="Promoted"/>
    <s v="Known Employee"/>
    <n v="3"/>
    <x v="3"/>
  </r>
  <r>
    <s v="TRN-9838"/>
    <s v="CUST-1089"/>
    <s v=" STO-02 "/>
    <s v="EMP-0203"/>
    <s v="PROMO-00"/>
    <s v="Credit Card"/>
    <n v="595"/>
    <s v="2023-04-06"/>
    <n v="4"/>
    <s v="Regular"/>
    <s v="Promoted"/>
    <s v="Known Employee"/>
    <n v="7"/>
    <x v="3"/>
  </r>
  <r>
    <s v="TRN-9131"/>
    <s v="CUST-1151"/>
    <s v="STO-01"/>
    <s v="EMP-0101"/>
    <s v=" PROMO-00 "/>
    <s v="Mobile Payment"/>
    <n v="534"/>
    <s v="2023-04-08"/>
    <n v="4"/>
    <s v="Regular"/>
    <s v="Promoted"/>
    <s v="Known Employee"/>
    <n v="4"/>
    <x v="3"/>
  </r>
  <r>
    <s v="TRN-9948"/>
    <s v="CUST-1168"/>
    <s v="STO-02"/>
    <s v="EMP-0205"/>
    <s v="PROMO-00"/>
    <s v=" Credit Card "/>
    <n v="390"/>
    <s v="2023-04-10"/>
    <n v="4"/>
    <s v="Regular"/>
    <s v="Promoted"/>
    <s v="Known Employee"/>
    <n v="2"/>
    <x v="3"/>
  </r>
  <r>
    <s v="TRN-9393"/>
    <s v="CUST-1127"/>
    <s v="STO-01"/>
    <s v="EMP-0104"/>
    <s v="PROMO-00"/>
    <s v="Mobile Payment"/>
    <n v="165"/>
    <s v="2023-05-01"/>
    <n v="5"/>
    <s v="Regular"/>
    <s v="Promoted"/>
    <s v="Known Employee"/>
    <n v="5"/>
    <x v="4"/>
  </r>
  <r>
    <s v="TRN-9460"/>
    <s v="CUST-1087"/>
    <s v="STO-04"/>
    <s v="EMP-0405"/>
    <s v="PROMO-00"/>
    <s v="Unknown"/>
    <n v="360"/>
    <s v="2023-05-05"/>
    <n v="5"/>
    <s v="Regular"/>
    <s v="Promoted"/>
    <s v="Known Employee"/>
    <n v="3"/>
    <x v="4"/>
  </r>
  <r>
    <s v="TRN-9550"/>
    <s v="CUST-1058"/>
    <s v="STO-02"/>
    <s v="EMP-0205"/>
    <s v="PROMO-00"/>
    <s v="Credit Card"/>
    <n v="395"/>
    <s v="2023-05-07"/>
    <n v="5"/>
    <s v="Regular"/>
    <s v="Promoted"/>
    <s v="Known Employee"/>
    <n v="7"/>
    <x v="4"/>
  </r>
  <r>
    <s v="TRN-9029"/>
    <s v="CUST-1056"/>
    <s v="STO-01"/>
    <s v="EMP-0101"/>
    <s v="PROMO-00"/>
    <s v="Cash"/>
    <n v="351"/>
    <s v="2023-05-08"/>
    <n v="5"/>
    <s v="Regular"/>
    <s v="Promoted"/>
    <s v="Known Employee"/>
    <n v="3"/>
    <x v="4"/>
  </r>
  <r>
    <s v="TRN-9190"/>
    <s v="CUST-1102"/>
    <s v="STO-04"/>
    <s v=" EMP-0405 "/>
    <s v=" PROMO-00 "/>
    <s v="Debit Card"/>
    <n v="160"/>
    <s v="2023-05-09"/>
    <n v="5"/>
    <s v="Regular"/>
    <s v="Promoted"/>
    <s v="Known Employee"/>
    <n v="5"/>
    <x v="4"/>
  </r>
  <r>
    <s v="TRN-9803"/>
    <s v="CUST-1058"/>
    <s v="STO-02"/>
    <s v="EMP-0203"/>
    <s v="PROMO-00"/>
    <s v="Mobile Payment"/>
    <n v="430"/>
    <s v="2023-05-10"/>
    <n v="5"/>
    <s v="Regular"/>
    <s v="Promoted"/>
    <s v="Known Employee"/>
    <n v="7"/>
    <x v="4"/>
  </r>
  <r>
    <s v="TRN-9006"/>
    <s v="CUST-1177"/>
    <s v="STO-01"/>
    <s v="EMP-0102"/>
    <s v="PROMO-02"/>
    <s v="Mobile Payment"/>
    <n v="693"/>
    <s v="2023-05-12"/>
    <n v="5"/>
    <s v="Regular"/>
    <s v="Promoted"/>
    <s v="Known Employee"/>
    <n v="2"/>
    <x v="4"/>
  </r>
  <r>
    <s v="TRN-9638"/>
    <s v="CUST-1189"/>
    <s v="STO-03"/>
    <s v=" EMP-0305 "/>
    <s v="PROMO-00"/>
    <s v="Cash"/>
    <n v="239"/>
    <s v="2023-05-12"/>
    <n v="5"/>
    <s v="Regular"/>
    <s v="Promoted"/>
    <s v="Known Employee"/>
    <n v="6"/>
    <x v="4"/>
  </r>
  <r>
    <s v=" TRN-9885 "/>
    <s v="CUST-1184"/>
    <s v="STO-02"/>
    <s v="EMP-0205"/>
    <s v="PROMO-00"/>
    <s v="Debit Card"/>
    <n v="255"/>
    <s v="2023-05-14"/>
    <n v="5"/>
    <s v="Regular"/>
    <s v="Promoted"/>
    <s v="Known Employee"/>
    <n v="4"/>
    <x v="4"/>
  </r>
  <r>
    <s v="TRN-9281"/>
    <s v="CUST-1080"/>
    <s v="STO-02"/>
    <s v="EMP-0205"/>
    <s v="PROMO-03"/>
    <s v="Cash"/>
    <n v="165.3"/>
    <s v="2023-05-17"/>
    <n v="5"/>
    <s v="Regular"/>
    <s v="Promoted"/>
    <s v="Known Employee"/>
    <n v="3"/>
    <x v="4"/>
  </r>
  <r>
    <s v="TRN-9301"/>
    <s v="CUST-1158"/>
    <s v="Unknown"/>
    <s v="EMP-0304"/>
    <s v="PROMO-00"/>
    <s v="Mobile Payment"/>
    <n v="85"/>
    <s v="2023-05-17"/>
    <n v="5"/>
    <s v="Regular"/>
    <s v="Promoted"/>
    <s v="Known Employee"/>
    <n v="2"/>
    <x v="4"/>
  </r>
  <r>
    <s v="TRN-9088"/>
    <s v="CUST-1065"/>
    <s v="STO-04"/>
    <s v="EMP-0403"/>
    <s v="No Promotion"/>
    <s v="Mobile Payment"/>
    <n v="334"/>
    <s v="2023-05-18"/>
    <n v="5"/>
    <s v="Regular"/>
    <s v="Not Promoted"/>
    <s v="Known Employee"/>
    <n v="9"/>
    <x v="4"/>
  </r>
  <r>
    <s v="TRN-9432"/>
    <s v="CUST-1058"/>
    <s v="STO-01"/>
    <s v="EMP-0102"/>
    <s v="PROMO-00"/>
    <s v="Credit Card"/>
    <n v="670"/>
    <s v="2023-05-21"/>
    <n v="5"/>
    <s v="Regular"/>
    <s v="Promoted"/>
    <s v="Known Employee"/>
    <n v="7"/>
    <x v="4"/>
  </r>
  <r>
    <s v="TRN-9765"/>
    <s v="CUST-1147"/>
    <s v="STO-01"/>
    <s v="Unknown"/>
    <s v="PROMO-01"/>
    <s v="Cash"/>
    <n v="242.25"/>
    <s v="2023-05-24"/>
    <n v="5"/>
    <s v="Regular"/>
    <s v="Promoted"/>
    <s v="UnKnown Employee"/>
    <n v="8"/>
    <x v="4"/>
  </r>
  <r>
    <s v="TRN-9413"/>
    <s v="CUST-1006"/>
    <s v="STO-02"/>
    <s v="EMP-0202"/>
    <s v="PROMO-00"/>
    <s v="Mobile Payment"/>
    <n v="543"/>
    <s v="2023-05-25"/>
    <n v="5"/>
    <s v="Regular"/>
    <s v="Promoted"/>
    <s v="Known Employee"/>
    <n v="4"/>
    <x v="4"/>
  </r>
  <r>
    <s v=" TRN-9686 "/>
    <s v="CUST-1006"/>
    <s v="STO-03"/>
    <s v="EMP-0303"/>
    <s v="PROMO-00"/>
    <s v="Debit Card"/>
    <n v="455"/>
    <s v="2023-05-28"/>
    <n v="5"/>
    <s v="Regular"/>
    <s v="Promoted"/>
    <s v="Known Employee"/>
    <n v="4"/>
    <x v="4"/>
  </r>
  <r>
    <s v="TRN-9146"/>
    <s v="CUST-1152"/>
    <s v="STO-03"/>
    <s v="EMP-0303"/>
    <s v="PROMO-01"/>
    <s v="Mobile Payment"/>
    <n v="233.75"/>
    <s v="2023-05-31"/>
    <n v="5"/>
    <s v="Regular"/>
    <s v="Promoted"/>
    <s v="Known Employee"/>
    <n v="5"/>
    <x v="4"/>
  </r>
  <r>
    <s v=" TRN-9354 "/>
    <s v="CUST-1003"/>
    <s v="STO-04"/>
    <s v="EMP-0402"/>
    <s v="PROMO-00"/>
    <s v="Credit Card"/>
    <n v="170"/>
    <s v="2023-06-02"/>
    <n v="6"/>
    <s v="Regular"/>
    <s v="Promoted"/>
    <s v="Known Employee"/>
    <n v="6"/>
    <x v="5"/>
  </r>
  <r>
    <s v="TRN-9160"/>
    <s v="CUST-1122"/>
    <s v="STO-03"/>
    <s v="EMP-0304"/>
    <s v="PROMO-02"/>
    <s v="Cash"/>
    <n v="104.4"/>
    <s v="2023-06-03"/>
    <n v="6"/>
    <s v="Regular"/>
    <s v="Promoted"/>
    <s v="Known Employee"/>
    <n v="3"/>
    <x v="5"/>
  </r>
  <r>
    <s v="TRN-9835"/>
    <s v="CUST-1031"/>
    <s v="STO-04"/>
    <s v="EMP-0405"/>
    <s v="PROMO-00"/>
    <s v="Mobile Payment"/>
    <n v="174"/>
    <s v="2023-06-04"/>
    <n v="6"/>
    <s v="Regular"/>
    <s v="Promoted"/>
    <s v="Known Employee"/>
    <n v="3"/>
    <x v="5"/>
  </r>
  <r>
    <s v="TRN-9158"/>
    <s v="CUST-1125"/>
    <s v="STO-02"/>
    <s v="EMP-0202"/>
    <s v="PROMO-00"/>
    <s v="Debit Card"/>
    <n v="421"/>
    <s v="2023-06-04"/>
    <n v="6"/>
    <s v="Regular"/>
    <s v="Promoted"/>
    <s v="Known Employee"/>
    <n v="3"/>
    <x v="5"/>
  </r>
  <r>
    <s v="TRN-9541"/>
    <s v="CUST-1141"/>
    <s v="STO-04"/>
    <s v=" EMP-0401 "/>
    <s v="PROMO-03"/>
    <s v=" Mobile Payment "/>
    <n v="243.2"/>
    <s v="2023-06-04"/>
    <n v="6"/>
    <s v="Regular"/>
    <s v="Promoted"/>
    <s v="Known Employee"/>
    <n v="4"/>
    <x v="5"/>
  </r>
  <r>
    <s v="TRN-9811"/>
    <s v="CUST-1146"/>
    <s v="STO-02"/>
    <s v="EMP-0201"/>
    <s v="PROMO-02"/>
    <s v="Unknown"/>
    <n v="135"/>
    <s v="2023-06-06"/>
    <n v="6"/>
    <s v="Regular"/>
    <s v="Promoted"/>
    <s v="Known Employee"/>
    <n v="8"/>
    <x v="5"/>
  </r>
  <r>
    <s v="TRN-9711"/>
    <s v="CUST-1100"/>
    <s v="STO-01"/>
    <s v="EMP-0103"/>
    <s v="PROMO-02"/>
    <s v="Debit Card"/>
    <n v="383.4"/>
    <s v="2023-06-08"/>
    <n v="6"/>
    <s v="Regular"/>
    <s v="Promoted"/>
    <s v="Known Employee"/>
    <n v="4"/>
    <x v="5"/>
  </r>
  <r>
    <s v="TRN-9577"/>
    <s v="CUST-1140"/>
    <s v="STO-04"/>
    <s v="EMP-0401"/>
    <s v="PROMO-00"/>
    <s v="Mobile Payment"/>
    <n v="745"/>
    <s v="2023-06-10"/>
    <n v="6"/>
    <s v="Regular"/>
    <s v="Promoted"/>
    <s v="Known Employee"/>
    <n v="4"/>
    <x v="5"/>
  </r>
  <r>
    <s v="TRN-9327"/>
    <s v="CUST-1078"/>
    <s v=" STO-03 "/>
    <s v="EMP-0302"/>
    <s v="PROMO-00"/>
    <s v="Cash"/>
    <n v="140"/>
    <s v="2023-06-11"/>
    <n v="6"/>
    <s v="Regular"/>
    <s v="Promoted"/>
    <s v="Known Employee"/>
    <n v="4"/>
    <x v="5"/>
  </r>
  <r>
    <s v="TRN-9524"/>
    <s v="CUST-1098"/>
    <s v="STO-03"/>
    <s v="EMP-0302"/>
    <s v="PROMO-00"/>
    <s v="Cash"/>
    <n v="705"/>
    <s v="2023-06-12"/>
    <n v="6"/>
    <s v="Regular"/>
    <s v="Promoted"/>
    <s v="Known Employee"/>
    <n v="4"/>
    <x v="5"/>
  </r>
  <r>
    <s v="TRN-9875"/>
    <s v=" CUST-1082 "/>
    <s v="STO-03"/>
    <s v="EMP-0302"/>
    <s v="PROMO-00"/>
    <s v="Debit Card"/>
    <n v="555"/>
    <s v="2023-06-14"/>
    <n v="6"/>
    <s v="Regular"/>
    <s v="Promoted"/>
    <s v="Known Employee"/>
    <n v="1"/>
    <x v="5"/>
  </r>
  <r>
    <s v="TRN-9870"/>
    <s v="CUST-1032"/>
    <s v="STO-04"/>
    <s v="EMP-0403"/>
    <s v="PROMO-02"/>
    <s v=" Mobile Payment "/>
    <n v="390.6"/>
    <s v="2023-06-18"/>
    <n v="6"/>
    <s v="Regular"/>
    <s v="Promoted"/>
    <s v="Known Employee"/>
    <n v="6"/>
    <x v="5"/>
  </r>
  <r>
    <s v="#N/A"/>
    <s v="CUST-1097"/>
    <s v="STO-01"/>
    <s v="EMP-0104"/>
    <s v="PROMO-00"/>
    <s v="Mobile Payment"/>
    <n v="536"/>
    <s v="2023-06-20"/>
    <n v="6"/>
    <s v="Regular"/>
    <s v="Promoted"/>
    <s v="Known Employee"/>
    <n v="5"/>
    <x v="5"/>
  </r>
  <r>
    <s v="TRN-9226"/>
    <s v="CUST-1103"/>
    <s v="STO-02"/>
    <s v="EMP-0201"/>
    <s v="PROMO-00"/>
    <s v="Credit Card"/>
    <n v="226"/>
    <s v="2023-06-20"/>
    <n v="6"/>
    <s v="Regular"/>
    <s v="Promoted"/>
    <s v="Known Employee"/>
    <n v="3"/>
    <x v="5"/>
  </r>
  <r>
    <s v="TRN-9321"/>
    <s v="CUST-1147"/>
    <s v="STO-03"/>
    <s v=" EMP-0303 "/>
    <s v="PROMO-00"/>
    <s v="Debit Card"/>
    <n v="529"/>
    <s v="2023-06-22"/>
    <n v="6"/>
    <s v="Regular"/>
    <s v="Promoted"/>
    <s v="Known Employee"/>
    <n v="8"/>
    <x v="5"/>
  </r>
  <r>
    <s v="TRN-9609"/>
    <s v="CUST-1090"/>
    <s v="STO-02"/>
    <s v="EMP-0204"/>
    <s v="PROMO-00"/>
    <s v="Debit Card"/>
    <n v="65"/>
    <s v="2023-06-27"/>
    <n v="6"/>
    <s v="Regular"/>
    <s v="Promoted"/>
    <s v="Known Employee"/>
    <n v="5"/>
    <x v="5"/>
  </r>
  <r>
    <s v=" TRN-9369 "/>
    <s v=" CUST-1189 "/>
    <s v="STO-03"/>
    <s v="EMP-0305"/>
    <s v="PROMO-00"/>
    <s v=" Debit Card "/>
    <n v="453"/>
    <s v="2023-07-01"/>
    <n v="7"/>
    <s v="Regular"/>
    <s v="Promoted"/>
    <s v="Known Employee"/>
    <n v="1"/>
    <x v="6"/>
  </r>
  <r>
    <s v="TRN-9071"/>
    <s v="CUST-1119"/>
    <s v="STO-01"/>
    <s v="EMP-0101"/>
    <s v="PROMO-00"/>
    <s v="Debit Card"/>
    <n v="478"/>
    <s v="2023-07-04"/>
    <n v="7"/>
    <s v="Regular"/>
    <s v="Promoted"/>
    <s v="Known Employee"/>
    <n v="6"/>
    <x v="6"/>
  </r>
  <r>
    <s v="TRN-9038"/>
    <s v="CUST-1163"/>
    <s v="STO-03"/>
    <s v="EMP-0302"/>
    <s v="PROMO-00"/>
    <s v=" Credit Card "/>
    <n v="195"/>
    <s v="2023-07-04"/>
    <n v="7"/>
    <s v="Regular"/>
    <s v="Promoted"/>
    <s v="Known Employee"/>
    <n v="3"/>
    <x v="6"/>
  </r>
  <r>
    <s v="TRN-9830"/>
    <s v="CUST-1150"/>
    <s v="STO-01"/>
    <s v="EMP-0103"/>
    <s v="PROMO-01"/>
    <s v="Cash"/>
    <n v="404.6"/>
    <s v="2023-07-05"/>
    <n v="7"/>
    <s v="Regular"/>
    <s v="Promoted"/>
    <s v="Known Employee"/>
    <n v="3"/>
    <x v="6"/>
  </r>
  <r>
    <s v="TRN-9564"/>
    <s v="CUST-1110"/>
    <s v="STO-04"/>
    <s v=" EMP-0401 "/>
    <s v="PROMO-00"/>
    <s v="Debit Card"/>
    <n v="230"/>
    <s v="2023-07-07"/>
    <n v="7"/>
    <s v="Regular"/>
    <s v="Promoted"/>
    <s v="Known Employee"/>
    <n v="2"/>
    <x v="6"/>
  </r>
  <r>
    <s v="TRN-9837"/>
    <s v="CUST-1102"/>
    <s v="STO-02"/>
    <s v="EMP-0201"/>
    <s v="PROMO-00"/>
    <s v="Debit Card"/>
    <n v="420"/>
    <s v="2023-07-08"/>
    <n v="7"/>
    <s v="Regular"/>
    <s v="Promoted"/>
    <s v="Known Employee"/>
    <n v="5"/>
    <x v="6"/>
  </r>
  <r>
    <s v="TRN-9880"/>
    <s v="CUST-1178"/>
    <s v="STO-03"/>
    <s v="EMP-0305"/>
    <s v="PROMO-01"/>
    <s v="Debit Card"/>
    <n v="429.25"/>
    <s v="2023-07-11"/>
    <n v="7"/>
    <s v="Regular"/>
    <s v="Promoted"/>
    <s v="Known Employee"/>
    <n v="7"/>
    <x v="6"/>
  </r>
  <r>
    <s v="TRN-9385"/>
    <s v="CUST-1163"/>
    <s v="STO-03"/>
    <s v="EMP-0303"/>
    <s v="PROMO-00"/>
    <s v="Debit Card"/>
    <n v="350"/>
    <s v="2023-07-12"/>
    <n v="7"/>
    <s v="Regular"/>
    <s v="Promoted"/>
    <s v="Known Employee"/>
    <n v="3"/>
    <x v="6"/>
  </r>
  <r>
    <s v="TRN-9574"/>
    <s v="CUST-1121"/>
    <s v="STO-03"/>
    <s v=" EMP-0305 "/>
    <s v="PROMO-00"/>
    <s v="Debit Card"/>
    <n v="248"/>
    <s v="2023-07-13"/>
    <n v="7"/>
    <s v="Regular"/>
    <s v="Promoted"/>
    <s v="Known Employee"/>
    <n v="3"/>
    <x v="6"/>
  </r>
  <r>
    <s v="TRN-9285"/>
    <s v="CUST-1060"/>
    <s v="STO-01"/>
    <s v="EMP-0102"/>
    <s v="PROMO-00"/>
    <s v="Debit Card"/>
    <n v="290"/>
    <s v="2023-07-17"/>
    <n v="7"/>
    <s v="Regular"/>
    <s v="Promoted"/>
    <s v="Known Employee"/>
    <n v="3"/>
    <x v="6"/>
  </r>
  <r>
    <s v="TRN-9251"/>
    <s v="CUST-1166"/>
    <s v="STO-01"/>
    <s v="EMP-0101"/>
    <s v="PROMO-00"/>
    <s v="Credit Card"/>
    <n v="455"/>
    <s v="2023-07-18"/>
    <n v="7"/>
    <s v="Regular"/>
    <s v="Promoted"/>
    <s v="Known Employee"/>
    <n v="5"/>
    <x v="6"/>
  </r>
  <r>
    <s v="TRN-9243"/>
    <s v="CUST-1186"/>
    <s v="STO-03"/>
    <s v="EMP-0302"/>
    <s v="PROMO-00"/>
    <s v="Cash"/>
    <n v="386"/>
    <s v="2023-07-23"/>
    <n v="7"/>
    <s v="Regular"/>
    <s v="Promoted"/>
    <s v="Known Employee"/>
    <n v="4"/>
    <x v="6"/>
  </r>
  <r>
    <s v=" TRN-9520 "/>
    <s v="CUST-1059"/>
    <s v="STO-03"/>
    <s v="EMP-0301"/>
    <s v="PROMO-00"/>
    <s v="Debit Card"/>
    <n v="266"/>
    <s v="2023-07-24"/>
    <n v="7"/>
    <s v="Regular"/>
    <s v="Promoted"/>
    <s v="Known Employee"/>
    <n v="3"/>
    <x v="6"/>
  </r>
  <r>
    <s v="TRN-9315"/>
    <s v="CUST-1050"/>
    <s v="STO-04"/>
    <s v="EMP-0404"/>
    <s v="PROMO-00"/>
    <s v="Mobile Payment"/>
    <n v="55"/>
    <s v="2023-07-27"/>
    <n v="7"/>
    <s v="Regular"/>
    <s v="Promoted"/>
    <s v="Known Employee"/>
    <n v="6"/>
    <x v="6"/>
  </r>
  <r>
    <s v="TRN-9233"/>
    <s v="CUST-1083"/>
    <s v="STO-02"/>
    <s v="EMP-0202"/>
    <s v="PROMO-02"/>
    <s v="Credit Card"/>
    <n v="104.4"/>
    <s v="2023-07-27"/>
    <n v="7"/>
    <s v="Regular"/>
    <s v="Promoted"/>
    <s v="Known Employee"/>
    <n v="2"/>
    <x v="6"/>
  </r>
  <r>
    <s v="TRN-9335"/>
    <s v="CUST-1160"/>
    <s v="STO-04"/>
    <s v="EMP-0401"/>
    <s v="PROMO-00"/>
    <s v="Mobile Payment"/>
    <n v="543"/>
    <s v="2023-07-27"/>
    <n v="7"/>
    <s v="Regular"/>
    <s v="Promoted"/>
    <s v="Known Employee"/>
    <n v="5"/>
    <x v="6"/>
  </r>
  <r>
    <s v="TRN-9057"/>
    <s v="CUST-1191"/>
    <s v="STO-02"/>
    <s v="EMP-0201"/>
    <s v="PROMO-00"/>
    <s v=" Mobile Payment "/>
    <n v="675"/>
    <s v="2023-07-28"/>
    <n v="7"/>
    <s v="Regular"/>
    <s v="Promoted"/>
    <s v="Known Employee"/>
    <n v="8"/>
    <x v="6"/>
  </r>
  <r>
    <s v="TRN-9792"/>
    <s v="CUST-1155"/>
    <s v="STO-01"/>
    <s v="EMP-0102"/>
    <s v="PROMO-00"/>
    <s v="Cash"/>
    <n v="370"/>
    <s v="2023-07-30"/>
    <n v="7"/>
    <s v="Regular"/>
    <s v="Promoted"/>
    <s v="Known Employee"/>
    <n v="3"/>
    <x v="6"/>
  </r>
  <r>
    <s v="TRN-9800"/>
    <s v="CUST-1021"/>
    <s v="STO-03"/>
    <s v="EMP-0302"/>
    <s v="PROMO-00"/>
    <s v="Cash"/>
    <n v="118"/>
    <s v="2023-08-08"/>
    <n v="8"/>
    <s v="Rakshabandhan"/>
    <s v="Promoted"/>
    <s v="Known Employee"/>
    <n v="1"/>
    <x v="7"/>
  </r>
  <r>
    <s v="TRN-9080"/>
    <s v="CUST-1048"/>
    <s v="STO-02"/>
    <s v="EMP-0204"/>
    <s v="PROMO-00"/>
    <s v="Cash"/>
    <n v="455"/>
    <s v="2023-08-09"/>
    <n v="8"/>
    <s v="Rakshabandhan"/>
    <s v="Promoted"/>
    <s v="Known Employee"/>
    <n v="8"/>
    <x v="7"/>
  </r>
  <r>
    <s v="TRN-9457"/>
    <s v="CUST-1023"/>
    <s v="STO-04"/>
    <s v="EMP-0403"/>
    <s v="No Promotion"/>
    <s v="Cash"/>
    <n v="80"/>
    <s v="2023-08-10"/>
    <n v="8"/>
    <s v="Rakshabandhan"/>
    <s v="Not Promoted"/>
    <s v="Known Employee"/>
    <n v="3"/>
    <x v="7"/>
  </r>
  <r>
    <s v="TRN-9905"/>
    <s v="CUST-1113"/>
    <s v="STO-04"/>
    <s v="EMP-0401"/>
    <s v="PROMO-00"/>
    <s v="Debit Card"/>
    <n v="415"/>
    <s v="2023-08-10"/>
    <n v="8"/>
    <s v="Rakshabandhan"/>
    <s v="Promoted"/>
    <s v="Known Employee"/>
    <n v="5"/>
    <x v="7"/>
  </r>
  <r>
    <s v="TRN-9421"/>
    <s v="CUST-1052"/>
    <s v="STO-04"/>
    <s v="EMP-0404"/>
    <s v="PROMO-00"/>
    <s v="Debit Card"/>
    <n v="195"/>
    <s v="2023-08-12"/>
    <n v="8"/>
    <s v="Rakshabandhan"/>
    <s v="Promoted"/>
    <s v="Known Employee"/>
    <n v="2"/>
    <x v="7"/>
  </r>
  <r>
    <s v="TRN-9220"/>
    <s v="CUST-1149"/>
    <s v="STO-04"/>
    <s v="EMP-0403"/>
    <s v="PROMO-02"/>
    <s v="Mobile Payment"/>
    <n v="544.5"/>
    <s v="2023-08-21"/>
    <n v="8"/>
    <s v="Rakshabandhan"/>
    <s v="Promoted"/>
    <s v="Known Employee"/>
    <n v="4"/>
    <x v="7"/>
  </r>
  <r>
    <s v="TRN-9516"/>
    <s v="CUST-1003"/>
    <s v="STO-01"/>
    <s v="EMP-0103"/>
    <s v="PROMO-00"/>
    <s v="Mobile Payment"/>
    <n v="440"/>
    <s v="2023-08-22"/>
    <n v="8"/>
    <s v="Rakshabandhan"/>
    <s v="Promoted"/>
    <s v="Known Employee"/>
    <n v="6"/>
    <x v="7"/>
  </r>
  <r>
    <s v="TRN-9007"/>
    <s v="CUST-1170"/>
    <s v="STO-04"/>
    <s v="EMP-0405"/>
    <s v="PROMO-00"/>
    <s v="Unknown"/>
    <n v="260"/>
    <s v="2023-08-24"/>
    <n v="8"/>
    <s v="Rakshabandhan"/>
    <s v="Promoted"/>
    <s v="Known Employee"/>
    <n v="3"/>
    <x v="7"/>
  </r>
  <r>
    <s v="TRN-9443"/>
    <s v="CUST-1032"/>
    <s v="STO-01"/>
    <s v="EMP-0103"/>
    <s v="PROMO-02"/>
    <s v="Unknown"/>
    <n v="215.1"/>
    <s v="2023-08-25"/>
    <n v="8"/>
    <s v="Rakshabandhan"/>
    <s v="Promoted"/>
    <s v="Known Employee"/>
    <n v="6"/>
    <x v="7"/>
  </r>
  <r>
    <s v="TRN-9128"/>
    <s v="CUST-1063"/>
    <s v="STO-03"/>
    <s v="EMP-0303"/>
    <s v="PROMO-00"/>
    <s v="Debit Card"/>
    <n v="531"/>
    <s v="2023-08-26"/>
    <n v="8"/>
    <s v="Rakshabandhan"/>
    <s v="Promoted"/>
    <s v="Known Employee"/>
    <n v="3"/>
    <x v="7"/>
  </r>
  <r>
    <s v=" TRN-9592 "/>
    <s v="CUST-1076"/>
    <s v="STO-04"/>
    <s v="EMP-0402"/>
    <s v="PROMO-01"/>
    <s v="Mobile Payment"/>
    <n v="469.2"/>
    <s v="2023-08-30"/>
    <n v="8"/>
    <s v="Rakshabandhan"/>
    <s v="Promoted"/>
    <s v="Known Employee"/>
    <n v="3"/>
    <x v="7"/>
  </r>
  <r>
    <s v="TRN-9696"/>
    <s v="CUST-1111"/>
    <s v="STO-02"/>
    <s v="EMP-0205"/>
    <s v="PROMO-00"/>
    <s v="Credit Card"/>
    <n v="70"/>
    <s v="2023-08-30"/>
    <n v="8"/>
    <s v="Rakshabandhan"/>
    <s v="Promoted"/>
    <s v="Known Employee"/>
    <n v="5"/>
    <x v="7"/>
  </r>
  <r>
    <s v=" TRN-9204 "/>
    <s v="CUST-1123"/>
    <s v="STO-02"/>
    <s v="EMP-0203"/>
    <s v="PROMO-00"/>
    <s v="Debit Card"/>
    <n v="140"/>
    <s v="2023-09-01"/>
    <n v="9"/>
    <s v="Navratri"/>
    <s v="Promoted"/>
    <s v="Known Employee"/>
    <n v="3"/>
    <x v="8"/>
  </r>
  <r>
    <s v="TRN-9558"/>
    <s v="CUST-1053"/>
    <s v="STO-02"/>
    <s v=" EMP-0205 "/>
    <s v="No Promotion"/>
    <s v="Debit Card"/>
    <n v="47.5"/>
    <s v="2023-09-02"/>
    <n v="9"/>
    <s v="Navratri"/>
    <s v="Not Promoted"/>
    <s v="Known Employee"/>
    <n v="5"/>
    <x v="8"/>
  </r>
  <r>
    <s v="TRN-9684"/>
    <s v="CUST-1093"/>
    <s v="STO-03"/>
    <s v="EMP-0304"/>
    <s v="PROMO-02"/>
    <s v="Debit Card"/>
    <n v="106.2"/>
    <s v="2023-09-04"/>
    <n v="9"/>
    <s v="Navratri"/>
    <s v="Promoted"/>
    <s v="Known Employee"/>
    <n v="1"/>
    <x v="8"/>
  </r>
  <r>
    <s v="TRN-9468"/>
    <s v="CUST-1003"/>
    <s v="STO-03"/>
    <s v="EMP-0301"/>
    <s v="No Promotion"/>
    <s v="Mobile Payment"/>
    <n v="633"/>
    <s v="2023-09-06"/>
    <n v="9"/>
    <s v="Navratri"/>
    <s v="Not Promoted"/>
    <s v="Known Employee"/>
    <n v="6"/>
    <x v="8"/>
  </r>
  <r>
    <s v="TRN-9790"/>
    <s v="CUST-1056"/>
    <s v="STO-04"/>
    <s v="EMP-0402"/>
    <s v="PROMO-00"/>
    <s v="Mobile Payment"/>
    <n v="334"/>
    <s v="2023-09-07"/>
    <n v="9"/>
    <s v="Navratri"/>
    <s v="Promoted"/>
    <s v="Known Employee"/>
    <n v="3"/>
    <x v="8"/>
  </r>
  <r>
    <s v="TRN-9085"/>
    <s v="CUST-1148"/>
    <s v="STO-04"/>
    <s v="EMP-0403"/>
    <s v="PROMO-02"/>
    <s v="Cash"/>
    <n v="273.60000000000002"/>
    <s v="2023-09-08"/>
    <n v="9"/>
    <s v="Navratri"/>
    <s v="Promoted"/>
    <s v="Known Employee"/>
    <n v="4"/>
    <x v="8"/>
  </r>
  <r>
    <s v="TRN-9368"/>
    <s v="CUST-1059"/>
    <s v="STO-03"/>
    <s v="EMP-0304"/>
    <s v="PROMO-00"/>
    <s v="Cash"/>
    <n v="280"/>
    <s v="2023-09-09"/>
    <n v="9"/>
    <s v="Navratri"/>
    <s v="Promoted"/>
    <s v="Known Employee"/>
    <n v="3"/>
    <x v="8"/>
  </r>
  <r>
    <s v="TRN-9774"/>
    <s v="CUST-1074"/>
    <s v="STO-04"/>
    <s v="EMP-0404"/>
    <s v="PROMO-01"/>
    <s v="Debit Card"/>
    <n v="153"/>
    <s v="2023-09-09"/>
    <n v="9"/>
    <s v="Navratri"/>
    <s v="Promoted"/>
    <s v="Known Employee"/>
    <n v="6"/>
    <x v="8"/>
  </r>
  <r>
    <s v="TRN-9236"/>
    <s v="CUST-1172"/>
    <s v="STO-02"/>
    <s v="EMP-0201"/>
    <s v="PROMO-02"/>
    <s v="Cash"/>
    <n v="385.2"/>
    <s v="2023-09-09"/>
    <n v="9"/>
    <s v="Navratri"/>
    <s v="Promoted"/>
    <s v="Known Employee"/>
    <n v="4"/>
    <x v="8"/>
  </r>
  <r>
    <s v="TRN-9474"/>
    <s v="CUST-1180"/>
    <s v="STO-01"/>
    <s v="EMP-0105"/>
    <s v="PROMO-02"/>
    <s v="Unknown"/>
    <n v="122.4"/>
    <s v="2023-09-11"/>
    <n v="9"/>
    <s v="Navratri"/>
    <s v="Promoted"/>
    <s v="Known Employee"/>
    <n v="4"/>
    <x v="8"/>
  </r>
  <r>
    <s v="TRN-9826"/>
    <s v="CUST-1084"/>
    <s v="STO-03"/>
    <s v="EMP-0304"/>
    <s v="PROMO-00"/>
    <s v=" Credit Card "/>
    <n v="588"/>
    <s v="2023-09-12"/>
    <n v="9"/>
    <s v="Navratri"/>
    <s v="Promoted"/>
    <s v="Known Employee"/>
    <n v="2"/>
    <x v="8"/>
  </r>
  <r>
    <s v="TRN-9856"/>
    <s v="CUST-1022"/>
    <s v="STO-01"/>
    <s v="Unknown"/>
    <s v="PROMO-00"/>
    <s v="Cash"/>
    <n v="540"/>
    <s v="2023-09-15"/>
    <n v="9"/>
    <s v="Navratri"/>
    <s v="Promoted"/>
    <s v="UnKnown Employee"/>
    <n v="7"/>
    <x v="8"/>
  </r>
  <r>
    <s v="TRN-9092"/>
    <s v="CUST-1189"/>
    <s v="STO-04"/>
    <s v="EMP-0404"/>
    <s v="PROMO-00"/>
    <s v="Credit Card"/>
    <n v="180"/>
    <s v="2023-09-15"/>
    <n v="9"/>
    <s v="Navratri"/>
    <s v="Promoted"/>
    <s v="Known Employee"/>
    <n v="6"/>
    <x v="8"/>
  </r>
  <r>
    <s v="TRN-9202"/>
    <s v="CUST-1146"/>
    <s v="STO-02"/>
    <s v="EMP-0205"/>
    <s v="PROMO-00"/>
    <s v=" Mobile Payment "/>
    <n v="110"/>
    <s v="2023-09-18"/>
    <n v="9"/>
    <s v="Navratri"/>
    <s v="Promoted"/>
    <s v="Known Employee"/>
    <n v="8"/>
    <x v="8"/>
  </r>
  <r>
    <s v="TRN-9979"/>
    <s v="CUST-1094"/>
    <s v="STO-03"/>
    <s v="EMP-0302"/>
    <s v="PROMO-00"/>
    <s v="Mobile Payment"/>
    <n v="320"/>
    <s v="2023-09-24"/>
    <n v="9"/>
    <s v="Navratri"/>
    <s v="Promoted"/>
    <s v="Known Employee"/>
    <n v="5"/>
    <x v="8"/>
  </r>
  <r>
    <s v="TRN-9687"/>
    <s v=" CUST-1044 "/>
    <s v="STO-01"/>
    <s v="EMP-0104"/>
    <s v="PROMO-00"/>
    <s v="Cash"/>
    <n v="464"/>
    <s v="2023-09-25"/>
    <n v="9"/>
    <s v="Navratri"/>
    <s v="Promoted"/>
    <s v="Known Employee"/>
    <n v="1"/>
    <x v="8"/>
  </r>
  <r>
    <s v="TRN-9463"/>
    <s v="CUST-1180"/>
    <s v="STO-02"/>
    <s v="EMP-0205"/>
    <s v="PROMO-00"/>
    <s v="Credit Card"/>
    <n v="508"/>
    <s v="2023-10-03"/>
    <n v="10"/>
    <s v="Diwali"/>
    <s v="Promoted"/>
    <s v="Known Employee"/>
    <n v="4"/>
    <x v="9"/>
  </r>
  <r>
    <s v="TRN-9825"/>
    <s v="CUST-1020"/>
    <s v="Unknown"/>
    <s v="EMP-0402"/>
    <s v="PROMO-00"/>
    <s v="Credit Card"/>
    <n v="145"/>
    <s v="2023-10-04"/>
    <n v="10"/>
    <s v="Diwali"/>
    <s v="Promoted"/>
    <s v="Known Employee"/>
    <n v="6"/>
    <x v="9"/>
  </r>
  <r>
    <s v="TRN-9877"/>
    <s v="CUST-1113"/>
    <s v="STO-03"/>
    <s v="EMP-0304"/>
    <s v="PROMO-02"/>
    <s v="Cash"/>
    <n v="72"/>
    <s v="2023-10-06"/>
    <n v="10"/>
    <s v="Diwali"/>
    <s v="Promoted"/>
    <s v="Known Employee"/>
    <n v="5"/>
    <x v="9"/>
  </r>
  <r>
    <s v="TRN-9218"/>
    <s v="CUST-1119"/>
    <s v=" STO-01 "/>
    <s v="EMP-0105"/>
    <s v="PROMO-01"/>
    <s v="Credit Card"/>
    <n v="178.5"/>
    <s v="2023-10-06"/>
    <n v="10"/>
    <s v="Diwali"/>
    <s v="Promoted"/>
    <s v="Known Employee"/>
    <n v="6"/>
    <x v="9"/>
  </r>
  <r>
    <s v="TRN-9576"/>
    <s v=" CUST-1099 "/>
    <s v="STO-04"/>
    <s v="EMP-0402"/>
    <s v="PROMO-00"/>
    <s v="Debit Card"/>
    <n v="715"/>
    <s v="2023-10-10"/>
    <n v="10"/>
    <s v="Diwali"/>
    <s v="Promoted"/>
    <s v="Known Employee"/>
    <n v="1"/>
    <x v="9"/>
  </r>
  <r>
    <s v="TRN-9376"/>
    <s v="CUST-1053"/>
    <s v="STO-04"/>
    <s v="EMP-0402"/>
    <s v="PROMO-00"/>
    <s v="Credit Card"/>
    <n v="233"/>
    <s v="2023-10-11"/>
    <n v="10"/>
    <s v="Diwali"/>
    <s v="Promoted"/>
    <s v="Known Employee"/>
    <n v="5"/>
    <x v="9"/>
  </r>
  <r>
    <s v="TRN-9960"/>
    <s v="CUST-1036"/>
    <s v="STO-03"/>
    <s v="EMP-0305"/>
    <s v="PROMO-00"/>
    <s v="Debit Card"/>
    <n v="366"/>
    <s v="2023-10-12"/>
    <n v="10"/>
    <s v="Diwali"/>
    <s v="Promoted"/>
    <s v="Known Employee"/>
    <n v="4"/>
    <x v="9"/>
  </r>
  <r>
    <s v="TRN-9706"/>
    <s v="CUST-1009"/>
    <s v="STO-04"/>
    <s v="EMP-0401"/>
    <s v="PROMO-00"/>
    <s v="Credit Card"/>
    <n v="323"/>
    <s v="2023-10-14"/>
    <n v="10"/>
    <s v="Diwali"/>
    <s v="Promoted"/>
    <s v="Known Employee"/>
    <n v="2"/>
    <x v="9"/>
  </r>
  <r>
    <s v="TRN-9170"/>
    <s v="CUST-1068"/>
    <s v="STO-04"/>
    <s v="EMP-0401"/>
    <s v="PROMO-00"/>
    <s v="Cash"/>
    <n v="729"/>
    <s v="2023-10-17"/>
    <n v="10"/>
    <s v="Diwali"/>
    <s v="Promoted"/>
    <s v="Known Employee"/>
    <n v="3"/>
    <x v="9"/>
  </r>
  <r>
    <s v="TRN-9643"/>
    <s v="CUST-1036"/>
    <s v="STO-04"/>
    <s v="Unknown"/>
    <s v="PROMO-00"/>
    <s v="Credit Card"/>
    <n v="100"/>
    <s v="2023-10-18"/>
    <n v="10"/>
    <s v="Diwali"/>
    <s v="Promoted"/>
    <s v="UnKnown Employee"/>
    <n v="4"/>
    <x v="9"/>
  </r>
  <r>
    <s v="TRN-9295"/>
    <s v="CUST-1027"/>
    <s v="STO-02"/>
    <s v="EMP-0203"/>
    <s v="PROMO-00"/>
    <s v="Debit Card"/>
    <n v="355"/>
    <s v="2023-10-20"/>
    <n v="10"/>
    <s v="Diwali"/>
    <s v="Promoted"/>
    <s v="Known Employee"/>
    <n v="5"/>
    <x v="9"/>
  </r>
  <r>
    <s v="TRN-9974"/>
    <s v="CUST-1174"/>
    <s v="STO-03"/>
    <s v="EMP-0303"/>
    <s v="PROMO-00"/>
    <s v="Credit Card"/>
    <n v="50"/>
    <s v="2023-10-23"/>
    <n v="10"/>
    <s v="Diwali"/>
    <s v="Promoted"/>
    <s v="Known Employee"/>
    <n v="4"/>
    <x v="9"/>
  </r>
  <r>
    <s v="TRN-9874"/>
    <s v="CUST-1149"/>
    <s v="STO-03"/>
    <s v="EMP-0301"/>
    <s v="PROMO-00"/>
    <s v="Cash"/>
    <n v="334"/>
    <s v="2023-10-27"/>
    <n v="10"/>
    <s v="Diwali"/>
    <s v="Promoted"/>
    <s v="Known Employee"/>
    <n v="4"/>
    <x v="9"/>
  </r>
  <r>
    <s v="TRN-9048"/>
    <s v="CUST-1092"/>
    <s v="STO-02"/>
    <s v="EMP-0204"/>
    <s v="PROMO-00"/>
    <s v="Debit Card"/>
    <n v="100"/>
    <s v="2023-10-30"/>
    <n v="10"/>
    <s v="Diwali"/>
    <s v="Promoted"/>
    <s v="Known Employee"/>
    <n v="3"/>
    <x v="9"/>
  </r>
  <r>
    <s v="TRN-9200"/>
    <s v="CUST-1090"/>
    <s v="STO-03"/>
    <s v="EMP-0302"/>
    <s v="PROMO-00"/>
    <s v=" Credit Card "/>
    <n v="170"/>
    <s v="2023-10-31"/>
    <n v="10"/>
    <s v="Diwali"/>
    <s v="Promoted"/>
    <s v="Known Employee"/>
    <n v="5"/>
    <x v="9"/>
  </r>
  <r>
    <s v="TRN-9600"/>
    <s v="CUST-1140"/>
    <s v="STO-04"/>
    <s v="EMP-0404"/>
    <s v="PROMO-00"/>
    <s v="Mobile Payment"/>
    <n v="140"/>
    <s v="2023-11-02"/>
    <n v="11"/>
    <s v="Diwali"/>
    <s v="Promoted"/>
    <s v="Known Employee"/>
    <n v="4"/>
    <x v="10"/>
  </r>
  <r>
    <s v="TRN-9958"/>
    <s v=" CUST-1186 "/>
    <s v="STO-02"/>
    <s v="EMP-0204"/>
    <s v="PROMO-00"/>
    <s v="Mobile Payment"/>
    <n v="240"/>
    <s v="2023-11-08"/>
    <n v="11"/>
    <s v="Diwali"/>
    <s v="Promoted"/>
    <s v="Known Employee"/>
    <n v="1"/>
    <x v="10"/>
  </r>
  <r>
    <s v="TRN-9623"/>
    <s v="CUST-1156"/>
    <s v="STO-03"/>
    <s v="EMP-0302"/>
    <s v="PROMO-00"/>
    <s v="Debit Card"/>
    <n v="515"/>
    <s v="2023-11-08"/>
    <n v="11"/>
    <s v="Diwali"/>
    <s v="Promoted"/>
    <s v="Known Employee"/>
    <n v="3"/>
    <x v="10"/>
  </r>
  <r>
    <s v="TRN-10000"/>
    <s v="CUST-1189"/>
    <s v="STO-02"/>
    <s v="EMP-0202"/>
    <s v="PROMO-00"/>
    <s v="Cash"/>
    <n v="60"/>
    <s v="2023-11-09"/>
    <n v="11"/>
    <s v="Diwali"/>
    <s v="Promoted"/>
    <s v="Known Employee"/>
    <n v="6"/>
    <x v="10"/>
  </r>
  <r>
    <s v="TRN-9831"/>
    <s v="CUST-1199"/>
    <s v=" STO-04 "/>
    <s v="EMP-0403"/>
    <s v="PROMO-00"/>
    <s v="Debit Card"/>
    <n v="50"/>
    <s v="2023-11-10"/>
    <n v="11"/>
    <s v="Diwali"/>
    <s v="Promoted"/>
    <s v="Known Employee"/>
    <n v="3"/>
    <x v="10"/>
  </r>
  <r>
    <s v="TRN-9653"/>
    <s v="CUST-1005"/>
    <s v="STO-01"/>
    <s v=" EMP-0104 "/>
    <s v="PROMO-01"/>
    <s v="Cash"/>
    <n v="326.39999999999998"/>
    <s v="2023-11-12"/>
    <n v="11"/>
    <s v="Diwali"/>
    <s v="Promoted"/>
    <s v="Known Employee"/>
    <n v="2"/>
    <x v="10"/>
  </r>
  <r>
    <s v="TRN-9306"/>
    <s v="CUST-1011"/>
    <s v="STO-03"/>
    <s v="EMP-0302"/>
    <s v="PROMO-00"/>
    <s v="Debit Card"/>
    <n v="374"/>
    <s v="2023-11-14"/>
    <n v="11"/>
    <s v="Diwali"/>
    <s v="Promoted"/>
    <s v="Known Employee"/>
    <n v="4"/>
    <x v="10"/>
  </r>
  <r>
    <s v="TRN-9256"/>
    <s v="CUST-1175"/>
    <s v="STO-04"/>
    <s v=" EMP-0403 "/>
    <s v="PROMO-00"/>
    <s v="Debit Card"/>
    <n v="530"/>
    <s v="2023-11-14"/>
    <n v="11"/>
    <s v="Diwali"/>
    <s v="Promoted"/>
    <s v="Known Employee"/>
    <n v="5"/>
    <x v="10"/>
  </r>
  <r>
    <s v="TRN-9545"/>
    <s v="CUST-1049"/>
    <s v="STO-03"/>
    <s v="EMP-0305"/>
    <s v="PROMO-00"/>
    <s v="Debit Card"/>
    <n v="263"/>
    <s v="2023-11-15"/>
    <n v="11"/>
    <s v="Diwali"/>
    <s v="Promoted"/>
    <s v="Known Employee"/>
    <n v="4"/>
    <x v="10"/>
  </r>
  <r>
    <s v="TRN-9056"/>
    <s v="CUST-1177"/>
    <s v="STO-03"/>
    <s v="EMP-0303"/>
    <s v="No Promotion"/>
    <s v="Mobile Payment"/>
    <n v="465"/>
    <s v="2023-11-15"/>
    <n v="11"/>
    <s v="Diwali"/>
    <s v="Not Promoted"/>
    <s v="Known Employee"/>
    <n v="2"/>
    <x v="10"/>
  </r>
  <r>
    <s v="TRN-9323"/>
    <s v="CUST-1146"/>
    <s v="STO-04"/>
    <s v="EMP-0405"/>
    <s v="PROMO-00"/>
    <s v="Mobile Payment"/>
    <n v="85"/>
    <s v="2023-11-19"/>
    <n v="11"/>
    <s v="Diwali"/>
    <s v="Promoted"/>
    <s v="Known Employee"/>
    <n v="8"/>
    <x v="10"/>
  </r>
  <r>
    <s v="TRN-9921"/>
    <s v="CUST-1027"/>
    <s v="STO-02"/>
    <s v="EMP-0205"/>
    <s v="PROMO-00"/>
    <s v="Credit Card"/>
    <n v="408"/>
    <s v="2023-11-23"/>
    <n v="11"/>
    <s v="Diwali"/>
    <s v="Promoted"/>
    <s v="Known Employee"/>
    <n v="5"/>
    <x v="10"/>
  </r>
  <r>
    <s v="TRN-9353"/>
    <s v="CUST-1152"/>
    <s v=" STO-04 "/>
    <s v="EMP-0404"/>
    <s v="PROMO-00"/>
    <s v="Credit Card"/>
    <n v="210"/>
    <s v="2023-11-24"/>
    <n v="11"/>
    <s v="Diwali"/>
    <s v="Promoted"/>
    <s v="Known Employee"/>
    <n v="5"/>
    <x v="10"/>
  </r>
  <r>
    <s v="TRN-9494"/>
    <s v="CUST-1138"/>
    <s v="STO-03"/>
    <s v=" EMP-0301 "/>
    <s v="PROMO-02"/>
    <s v="Credit Card"/>
    <n v="360"/>
    <s v="2023-11-25"/>
    <n v="11"/>
    <s v="Diwali"/>
    <s v="Promoted"/>
    <s v="Known Employee"/>
    <n v="5"/>
    <x v="10"/>
  </r>
  <r>
    <s v="TRN-9047"/>
    <s v="CUST-1155"/>
    <s v="STO-03"/>
    <s v="EMP-0301"/>
    <s v="PROMO-01"/>
    <s v="Unknown"/>
    <n v="127.5"/>
    <s v="2023-11-25"/>
    <n v="11"/>
    <s v="Diwali"/>
    <s v="Promoted"/>
    <s v="Known Employee"/>
    <n v="3"/>
    <x v="10"/>
  </r>
  <r>
    <s v="TRN-9003"/>
    <s v="CUST-1017"/>
    <s v="STO-01"/>
    <s v="EMP-0105"/>
    <s v="PROMO-02"/>
    <s v="Credit Card"/>
    <n v="144"/>
    <s v="2023-11-27"/>
    <n v="11"/>
    <s v="Diwali"/>
    <s v="Promoted"/>
    <s v="Known Employee"/>
    <n v="6"/>
    <x v="10"/>
  </r>
  <r>
    <s v="TRN-9675"/>
    <s v="CUST-1036"/>
    <s v="STO-03"/>
    <s v="EMP-0304"/>
    <s v="PROMO-00"/>
    <s v="Mobile Payment"/>
    <n v="363"/>
    <s v="2023-11-27"/>
    <n v="11"/>
    <s v="Diwali"/>
    <s v="Promoted"/>
    <s v="Known Employee"/>
    <n v="4"/>
    <x v="10"/>
  </r>
  <r>
    <s v="TRN-9176"/>
    <s v="CUST-1089"/>
    <s v="STO-03"/>
    <s v="EMP-0301"/>
    <s v="PROMO-00"/>
    <s v="Debit Card"/>
    <n v="556"/>
    <s v="2023-11-27"/>
    <n v="11"/>
    <s v="Diwali"/>
    <s v="Promoted"/>
    <s v="Known Employee"/>
    <n v="7"/>
    <x v="10"/>
  </r>
  <r>
    <s v="TRN-9447"/>
    <s v="CUST-1088"/>
    <s v="STO-01"/>
    <s v="EMP-0105"/>
    <s v="PROMO-00"/>
    <s v="Cash"/>
    <n v="80"/>
    <s v="2023-11-28"/>
    <n v="11"/>
    <s v="Diwali"/>
    <s v="Promoted"/>
    <s v="Known Employee"/>
    <n v="3"/>
    <x v="10"/>
  </r>
  <r>
    <s v="TRN-9568"/>
    <s v="CUST-1039"/>
    <s v="Unknown"/>
    <s v="EMP-0104"/>
    <s v="PROMO-01"/>
    <s v="Debit Card"/>
    <n v="411.4"/>
    <s v="2023-11-30"/>
    <n v="11"/>
    <s v="Diwali"/>
    <s v="Promoted"/>
    <s v="Known Employee"/>
    <n v="4"/>
    <x v="10"/>
  </r>
  <r>
    <s v="TRN-9727"/>
    <s v="CUST-1191"/>
    <s v="STO-03"/>
    <s v="EMP-0303"/>
    <s v=" PROMO-00 "/>
    <s v=" Debit Card "/>
    <n v="50"/>
    <s v="2023-12-05"/>
    <n v="12"/>
    <s v="Regular"/>
    <s v="Promoted"/>
    <s v="Known Employee"/>
    <n v="8"/>
    <x v="11"/>
  </r>
  <r>
    <s v="TRN-9264"/>
    <s v="CUST-1130"/>
    <s v=" STO-03 "/>
    <s v="EMP-0301"/>
    <s v="PROMO-03"/>
    <s v="Cash"/>
    <n v="129.19999999999999"/>
    <s v="2023-12-08"/>
    <n v="12"/>
    <s v="Regular"/>
    <s v="Promoted"/>
    <s v="Known Employee"/>
    <n v="3"/>
    <x v="11"/>
  </r>
  <r>
    <s v="TRN-9261"/>
    <s v="CUST-1112"/>
    <s v="STO-04"/>
    <s v="EMP-0405"/>
    <s v="PROMO-00"/>
    <s v="Cash"/>
    <n v="610"/>
    <s v="2023-12-09"/>
    <n v="12"/>
    <s v="Regular"/>
    <s v="Promoted"/>
    <s v="Known Employee"/>
    <n v="4"/>
    <x v="11"/>
  </r>
  <r>
    <s v="TRN-9728"/>
    <s v="CUST-1176"/>
    <s v="STO-03"/>
    <s v="EMP-0301"/>
    <s v="PROMO-02"/>
    <s v="Debit Card"/>
    <n v="432"/>
    <s v="2023-12-11"/>
    <n v="12"/>
    <s v="Regular"/>
    <s v="Promoted"/>
    <s v="Known Employee"/>
    <n v="4"/>
    <x v="11"/>
  </r>
  <r>
    <s v="TRN-9618"/>
    <s v="CUST-1064"/>
    <s v="STO-04"/>
    <s v="EMP-0401"/>
    <s v="PROMO-00"/>
    <s v="Cash"/>
    <n v="235"/>
    <s v="2023-12-13"/>
    <n v="12"/>
    <s v="Regular"/>
    <s v="Promoted"/>
    <s v="Known Employee"/>
    <n v="3"/>
    <x v="11"/>
  </r>
  <r>
    <s v="TRN-9914"/>
    <s v="CUST-1060"/>
    <s v="Unknown"/>
    <s v="EMP-0101"/>
    <s v="PROMO-00"/>
    <s v="Mobile Payment"/>
    <n v="373"/>
    <s v="2023-12-14"/>
    <n v="12"/>
    <s v="Regular"/>
    <s v="Promoted"/>
    <s v="Known Employee"/>
    <n v="3"/>
    <x v="11"/>
  </r>
  <r>
    <s v="TRN-9685"/>
    <s v="CUST-1089"/>
    <s v="STO-04"/>
    <s v="EMP-0403"/>
    <s v="PROMO-01"/>
    <s v="Credit Card"/>
    <n v="567.79999999999995"/>
    <s v="2023-12-15"/>
    <n v="12"/>
    <s v="Regular"/>
    <s v="Promoted"/>
    <s v="Known Employee"/>
    <n v="7"/>
    <x v="11"/>
  </r>
  <r>
    <s v="TRN-9677"/>
    <s v="CUST-1077"/>
    <s v="STO-04"/>
    <s v="EMP-0405"/>
    <s v="PROMO-00"/>
    <s v="Cash"/>
    <n v="390"/>
    <s v="2023-12-16"/>
    <n v="12"/>
    <s v="Regular"/>
    <s v="Promoted"/>
    <s v="Known Employee"/>
    <n v="5"/>
    <x v="11"/>
  </r>
  <r>
    <s v="TRN-9923"/>
    <s v="CUST-1037"/>
    <s v="STO-02"/>
    <s v="EMP-0203"/>
    <s v="PROMO-00"/>
    <s v="Credit Card"/>
    <n v="215"/>
    <s v="2023-12-19"/>
    <n v="12"/>
    <s v="Regular"/>
    <s v="Promoted"/>
    <s v="Known Employee"/>
    <n v="3"/>
    <x v="11"/>
  </r>
  <r>
    <s v="TRN-9046"/>
    <s v="CUST-1070"/>
    <s v="STO-01"/>
    <s v="EMP-0104"/>
    <s v="PROMO-01"/>
    <s v="Mobile Payment"/>
    <n v="72.25"/>
    <s v="2023-12-19"/>
    <n v="12"/>
    <s v="Regular"/>
    <s v="Promoted"/>
    <s v="Known Employee"/>
    <n v="2"/>
    <x v="11"/>
  </r>
  <r>
    <s v="TRN-9669"/>
    <s v="CUST-1130"/>
    <s v="STO-02"/>
    <s v="EMP-0204"/>
    <s v="PROMO-00"/>
    <s v="Cash"/>
    <n v="465"/>
    <s v="2023-12-19"/>
    <n v="12"/>
    <s v="Regular"/>
    <s v="Promoted"/>
    <s v="Known Employee"/>
    <n v="3"/>
    <x v="11"/>
  </r>
  <r>
    <s v="TRN-9512"/>
    <s v="CUST-1176"/>
    <s v=" STO-02 "/>
    <s v="EMP-0203"/>
    <s v="PROMO-01"/>
    <s v="Mobile Payment"/>
    <n v="51"/>
    <s v="2023-12-20"/>
    <n v="12"/>
    <s v="Regular"/>
    <s v="Promoted"/>
    <s v="Known Employee"/>
    <n v="4"/>
    <x v="11"/>
  </r>
  <r>
    <s v="TRN-9590"/>
    <s v="CUST-1172"/>
    <s v="STO-02"/>
    <s v="EMP-0201"/>
    <s v="PROMO-00"/>
    <s v="Credit Card"/>
    <n v="80"/>
    <s v="2023-12-21"/>
    <n v="12"/>
    <s v="Regular"/>
    <s v="Promoted"/>
    <s v="Known Employee"/>
    <n v="4"/>
    <x v="11"/>
  </r>
  <r>
    <s v="TRN-9812"/>
    <s v="CUST-1191"/>
    <s v="STO-03"/>
    <s v="EMP-0303"/>
    <s v="PROMO-00"/>
    <s v="Mobile Payment"/>
    <n v="55"/>
    <s v="2023-12-21"/>
    <n v="12"/>
    <s v="Regular"/>
    <s v="Promoted"/>
    <s v="Known Employee"/>
    <n v="8"/>
    <x v="11"/>
  </r>
  <r>
    <s v="TRN-9786"/>
    <s v="CUST-1175"/>
    <s v="STO-02"/>
    <s v="EMP-0205"/>
    <s v="No Promotion"/>
    <s v="Credit Card"/>
    <n v="281.35000000000002"/>
    <s v="2023-12-25"/>
    <n v="12"/>
    <s v="Regular"/>
    <s v="Not Promoted"/>
    <s v="Known Employee"/>
    <n v="5"/>
    <x v="11"/>
  </r>
  <r>
    <s v="TRN-9760"/>
    <s v="CUST-1096"/>
    <s v="STO-03"/>
    <s v="EMP-0304"/>
    <s v="PROMO-00"/>
    <s v="Cash"/>
    <n v="551"/>
    <s v="2023-12-26"/>
    <n v="12"/>
    <s v="Regular"/>
    <s v="Promoted"/>
    <s v="Known Employee"/>
    <n v="5"/>
    <x v="11"/>
  </r>
  <r>
    <s v="TRN-9553"/>
    <s v="CUST-1157"/>
    <s v="STO-01"/>
    <s v="EMP-0105"/>
    <s v="PROMO-03"/>
    <s v="Mobile Payment"/>
    <n v="228"/>
    <s v="2023-12-26"/>
    <n v="12"/>
    <s v="Regular"/>
    <s v="Promoted"/>
    <s v="Known Employee"/>
    <n v="6"/>
    <x v="11"/>
  </r>
  <r>
    <s v="TRN-9391"/>
    <s v="CUST-1022"/>
    <s v="STO-01"/>
    <s v=" EMP-0104 "/>
    <s v="PROMO-03"/>
    <s v="Debit Card"/>
    <n v="494"/>
    <s v="2023-12-29"/>
    <n v="12"/>
    <s v="Regular"/>
    <s v="Promoted"/>
    <s v="Known Employee"/>
    <n v="7"/>
    <x v="11"/>
  </r>
  <r>
    <s v="TRN-9260"/>
    <s v="CUST-1159"/>
    <s v="STO-04"/>
    <s v="EMP-0404"/>
    <s v="PROMO-00"/>
    <s v="Debit Card"/>
    <n v="160"/>
    <s v="2023-12-31"/>
    <n v="12"/>
    <s v="Regular"/>
    <s v="Promoted"/>
    <s v="Known Employee"/>
    <n v="6"/>
    <x v="11"/>
  </r>
  <r>
    <s v="TRN-9043"/>
    <s v="CUST-1127"/>
    <s v="STO-01"/>
    <s v="EMP-0105"/>
    <s v="PROMO-00"/>
    <s v="Debit Card"/>
    <n v="484"/>
    <s v="2024-01-01"/>
    <n v="1"/>
    <s v="Makar Sankranti"/>
    <s v="Promoted"/>
    <s v="Known Employee"/>
    <n v="5"/>
    <x v="0"/>
  </r>
  <r>
    <s v="TRN-9764"/>
    <s v="CUST-1157"/>
    <s v="STO-03"/>
    <s v="EMP-0303"/>
    <s v="PROMO-00"/>
    <s v="Credit Card"/>
    <n v="204"/>
    <s v="2024-01-08"/>
    <n v="1"/>
    <s v="Makar Sankranti"/>
    <s v="Promoted"/>
    <s v="Known Employee"/>
    <n v="6"/>
    <x v="0"/>
  </r>
  <r>
    <s v="TRN-9194"/>
    <s v="CUST-1107"/>
    <s v="STO-03"/>
    <s v="EMP-0304"/>
    <s v="PROMO-00"/>
    <s v="Cash"/>
    <n v="440"/>
    <s v="2024-01-09"/>
    <n v="1"/>
    <s v="Makar Sankranti"/>
    <s v="Promoted"/>
    <s v="Known Employee"/>
    <n v="2"/>
    <x v="0"/>
  </r>
  <r>
    <s v="TRN-9695"/>
    <s v="CUST-1062"/>
    <s v="STO-01"/>
    <s v="EMP-0101"/>
    <s v="PROMO-00"/>
    <s v="Debit Card"/>
    <n v="313"/>
    <s v="2024-01-11"/>
    <n v="1"/>
    <s v="Makar Sankranti"/>
    <s v="Promoted"/>
    <s v="Known Employee"/>
    <n v="3"/>
    <x v="0"/>
  </r>
  <r>
    <s v="TRN-9120"/>
    <s v="CUST-1127"/>
    <s v="STO-04"/>
    <s v="EMP-0403"/>
    <s v="PROMO-00"/>
    <s v="Credit Card"/>
    <n v="615"/>
    <s v="2024-01-11"/>
    <n v="1"/>
    <s v="Makar Sankranti"/>
    <s v="Promoted"/>
    <s v="Known Employee"/>
    <n v="5"/>
    <x v="0"/>
  </r>
  <r>
    <s v="TRN-9985"/>
    <s v="CUST-1025"/>
    <s v="STO-03"/>
    <s v=" EMP-0305 "/>
    <s v="PROMO-00"/>
    <s v=" Mobile Payment "/>
    <n v="794"/>
    <s v="2024-01-14"/>
    <n v="1"/>
    <s v="Makar Sankranti"/>
    <s v="Promoted"/>
    <s v="Known Employee"/>
    <n v="5"/>
    <x v="0"/>
  </r>
  <r>
    <s v="TRN-9152"/>
    <s v="CUST-1044"/>
    <s v="STO-01"/>
    <s v="EMP-0104"/>
    <s v="PROMO-00"/>
    <s v="Credit Card"/>
    <n v="605"/>
    <s v="2024-01-15"/>
    <n v="1"/>
    <s v="Makar Sankranti"/>
    <s v="Promoted"/>
    <s v="Known Employee"/>
    <n v="5"/>
    <x v="0"/>
  </r>
  <r>
    <s v="TRN-9872"/>
    <s v="CUST-1096"/>
    <s v="STO-04"/>
    <s v="EMP-0405"/>
    <s v="PROMO-02"/>
    <s v="Debit Card"/>
    <n v="342"/>
    <s v="2024-01-20"/>
    <n v="1"/>
    <s v="Makar Sankranti"/>
    <s v="Promoted"/>
    <s v="Known Employee"/>
    <n v="5"/>
    <x v="0"/>
  </r>
  <r>
    <s v=" TRN-9767 "/>
    <s v="CUST-1124"/>
    <s v="STO-01"/>
    <s v="EMP-0104"/>
    <s v="PROMO-00"/>
    <s v="Credit Card"/>
    <n v="490"/>
    <s v="2024-01-21"/>
    <n v="1"/>
    <s v="Makar Sankranti"/>
    <s v="Promoted"/>
    <s v="Known Employee"/>
    <n v="4"/>
    <x v="0"/>
  </r>
  <r>
    <s v="TRN-9507"/>
    <s v="CUST-1051"/>
    <s v="STO-03"/>
    <s v="EMP-0304"/>
    <s v="PROMO-00"/>
    <s v="Credit Card"/>
    <n v="460"/>
    <s v="2024-01-22"/>
    <n v="1"/>
    <s v="Makar Sankranti"/>
    <s v="Promoted"/>
    <s v="Known Employee"/>
    <n v="1"/>
    <x v="0"/>
  </r>
  <r>
    <s v="TRN-9067"/>
    <s v="CUST-1089"/>
    <s v="STO-04"/>
    <s v="EMP-0404"/>
    <s v=" PROMO-00 "/>
    <s v="Credit Card"/>
    <n v="562"/>
    <s v="2024-01-23"/>
    <n v="1"/>
    <s v="Makar Sankranti"/>
    <s v="Promoted"/>
    <s v="Known Employee"/>
    <n v="7"/>
    <x v="0"/>
  </r>
  <r>
    <s v="TRN-9132"/>
    <s v="CUST-1131"/>
    <s v="STO-01"/>
    <s v=" EMP-0102 "/>
    <s v="PROMO-01"/>
    <s v="Cash"/>
    <n v="522.75"/>
    <s v="2024-01-23"/>
    <n v="1"/>
    <s v="Makar Sankranti"/>
    <s v="Promoted"/>
    <s v="Known Employee"/>
    <n v="7"/>
    <x v="0"/>
  </r>
  <r>
    <s v="TRN-9163"/>
    <s v="CUST-1005"/>
    <s v="STO-01"/>
    <s v="EMP-0102"/>
    <s v="PROMO-02"/>
    <s v="Unknown"/>
    <n v="333.9"/>
    <s v="2024-01-26"/>
    <n v="1"/>
    <s v="Makar Sankranti"/>
    <s v="Promoted"/>
    <s v="Known Employee"/>
    <n v="2"/>
    <x v="0"/>
  </r>
  <r>
    <s v="TRN-9208"/>
    <s v="CUST-1069"/>
    <s v="STO-01"/>
    <s v="EMP-0104"/>
    <s v=" PROMO-03 "/>
    <s v="Debit Card"/>
    <n v="418"/>
    <s v="2024-01-29"/>
    <n v="1"/>
    <s v="Makar Sankranti"/>
    <s v="Promoted"/>
    <s v="Known Employee"/>
    <n v="4"/>
    <x v="0"/>
  </r>
  <r>
    <s v="TRN-9734"/>
    <s v="CUST-1016"/>
    <s v=" STO-02 "/>
    <s v="EMP-0203"/>
    <s v="PROMO-00"/>
    <s v="Cash"/>
    <n v="110"/>
    <s v="2024-01-31"/>
    <n v="1"/>
    <s v="Makar Sankranti"/>
    <s v="Promoted"/>
    <s v="Known Employee"/>
    <n v="6"/>
    <x v="0"/>
  </r>
  <r>
    <s v="TRN-9567"/>
    <s v="CUST-1042"/>
    <s v="STO-01"/>
    <s v="EMP-0105"/>
    <s v="PROMO-00"/>
    <s v="Mobile Payment"/>
    <n v="230"/>
    <s v="2024-01-31"/>
    <n v="1"/>
    <s v="Makar Sankranti"/>
    <s v="Promoted"/>
    <s v="Known Employee"/>
    <n v="7"/>
    <x v="0"/>
  </r>
  <r>
    <s v="TRN-9377"/>
    <s v="CUST-1171"/>
    <s v="STO-04"/>
    <s v="EMP-0403"/>
    <s v="PROMO-00"/>
    <s v="Mobile Payment"/>
    <n v="351"/>
    <s v="2024-01-31"/>
    <n v="1"/>
    <s v="Makar Sankranti"/>
    <s v="Promoted"/>
    <s v="Known Employee"/>
    <n v="5"/>
    <x v="0"/>
  </r>
  <r>
    <s v="TRN-9337"/>
    <s v="CUST-1192"/>
    <s v="STO-02"/>
    <s v="EMP-0203"/>
    <s v="PROMO-01"/>
    <s v="Credit Card"/>
    <n v="382.5"/>
    <s v="2024-02-01"/>
    <n v="2"/>
    <s v="Regular"/>
    <s v="Promoted"/>
    <s v="Known Employee"/>
    <n v="5"/>
    <x v="1"/>
  </r>
  <r>
    <s v="TRN-9375"/>
    <s v="CUST-1154"/>
    <s v="STO-01"/>
    <s v="EMP-0102"/>
    <s v="PROMO-02"/>
    <s v="Debit Card"/>
    <n v="238.5"/>
    <s v="2024-02-18"/>
    <n v="2"/>
    <s v="Regular"/>
    <s v="Promoted"/>
    <s v="Known Employee"/>
    <n v="2"/>
    <x v="1"/>
  </r>
  <r>
    <s v="TRN-9667"/>
    <s v="CUST-1006"/>
    <s v="STO-04"/>
    <s v="EMP-0405"/>
    <s v="PROMO-00"/>
    <s v="Credit Card"/>
    <n v="600"/>
    <s v="2024-02-20"/>
    <n v="2"/>
    <s v="Regular"/>
    <s v="Promoted"/>
    <s v="Known Employee"/>
    <n v="4"/>
    <x v="1"/>
  </r>
  <r>
    <s v="TRN-9683"/>
    <s v="CUST-1137"/>
    <s v="STO-03"/>
    <s v="EMP-0305"/>
    <s v="PROMO-01"/>
    <s v="Credit Card"/>
    <n v="374"/>
    <s v="2024-02-24"/>
    <n v="2"/>
    <s v="Regular"/>
    <s v="Promoted"/>
    <s v="Known Employee"/>
    <n v="4"/>
    <x v="1"/>
  </r>
  <r>
    <s v="TRN-9203"/>
    <s v="CUST-1018"/>
    <s v="STO-02"/>
    <s v="EMP-0204"/>
    <s v="PROMO-02"/>
    <s v="Cash"/>
    <n v="61.2"/>
    <s v="2024-02-28"/>
    <n v="2"/>
    <s v="Regular"/>
    <s v="Promoted"/>
    <s v="Known Employee"/>
    <n v="2"/>
    <x v="1"/>
  </r>
  <r>
    <s v="TRN-9784"/>
    <s v="CUST-1082"/>
    <s v="STO-04"/>
    <s v="EMP-0405"/>
    <s v="PROMO-00"/>
    <s v="Cash"/>
    <n v="276"/>
    <s v="2024-02-28"/>
    <n v="2"/>
    <s v="Regular"/>
    <s v="Promoted"/>
    <s v="Known Employee"/>
    <n v="5"/>
    <x v="1"/>
  </r>
  <r>
    <s v="TRN-9613"/>
    <s v="CUST-1115"/>
    <s v="STO-04"/>
    <s v="EMP-0404"/>
    <s v="PROMO-01"/>
    <s v="Debit Card"/>
    <n v="319.60000000000002"/>
    <s v="2024-03-05"/>
    <n v="3"/>
    <s v="Holi"/>
    <s v="Promoted"/>
    <s v="Known Employee"/>
    <n v="3"/>
    <x v="2"/>
  </r>
  <r>
    <s v="TRN-9509"/>
    <s v="CUST-1185"/>
    <s v="STO-03"/>
    <s v="EMP-0303"/>
    <s v="PROMO-02"/>
    <s v="Mobile Payment"/>
    <n v="175.5"/>
    <s v="2024-03-05"/>
    <n v="3"/>
    <s v="Holi"/>
    <s v="Promoted"/>
    <s v="Known Employee"/>
    <n v="1"/>
    <x v="2"/>
  </r>
  <r>
    <s v="TRN-9639"/>
    <s v="CUST-1010"/>
    <s v="STO-03"/>
    <s v="EMP-0305"/>
    <s v="PROMO-00"/>
    <s v="Cash"/>
    <n v="520"/>
    <s v="2024-03-07"/>
    <n v="3"/>
    <s v="Holi"/>
    <s v="Promoted"/>
    <s v="Known Employee"/>
    <n v="4"/>
    <x v="2"/>
  </r>
  <r>
    <s v="TRN-9996"/>
    <s v=" CUST-1097 "/>
    <s v="STO-03"/>
    <s v="EMP-0303"/>
    <s v="PROMO-01"/>
    <s v="Debit Card"/>
    <n v="640.9"/>
    <s v="2024-03-08"/>
    <n v="3"/>
    <s v="Holi"/>
    <s v="Promoted"/>
    <s v="Known Employee"/>
    <n v="1"/>
    <x v="2"/>
  </r>
  <r>
    <s v="TRN-9888"/>
    <s v="CUST-1049"/>
    <s v=" STO-01 "/>
    <s v="EMP-0104"/>
    <s v="PROMO-01"/>
    <s v="Unknown"/>
    <n v="204"/>
    <s v="2024-03-08"/>
    <n v="3"/>
    <s v="Holi"/>
    <s v="Promoted"/>
    <s v="Known Employee"/>
    <n v="4"/>
    <x v="2"/>
  </r>
  <r>
    <s v=" TRN-9482 "/>
    <s v="CUST-1065"/>
    <s v="STO-01"/>
    <s v="EMP-0105"/>
    <s v="PROMO-01"/>
    <s v="Mobile Payment"/>
    <n v="302.60000000000002"/>
    <s v="2024-03-08"/>
    <n v="3"/>
    <s v="Holi"/>
    <s v="Promoted"/>
    <s v="Known Employee"/>
    <n v="9"/>
    <x v="2"/>
  </r>
  <r>
    <s v="TRN-9482"/>
    <s v="CUST-1065"/>
    <s v="STO-01"/>
    <s v="EMP-0105"/>
    <s v="PROMO-01"/>
    <s v="Mobile Payment"/>
    <n v="302.60000000000002"/>
    <s v="2024-03-08"/>
    <n v="3"/>
    <s v="Holi"/>
    <s v="Promoted"/>
    <s v="Known Employee"/>
    <n v="9"/>
    <x v="2"/>
  </r>
  <r>
    <s v="TRN-9861"/>
    <s v="CUST-1115"/>
    <s v="STO-01"/>
    <s v="EMP-0105"/>
    <s v="PROMO-00"/>
    <s v="Mobile Payment"/>
    <n v="567"/>
    <s v="2024-03-09"/>
    <n v="3"/>
    <s v="Holi"/>
    <s v="Promoted"/>
    <s v="Known Employee"/>
    <n v="3"/>
    <x v="2"/>
  </r>
  <r>
    <s v="TRN-9288"/>
    <s v="CUST-1038"/>
    <s v=" STO-04 "/>
    <s v="EMP-0402"/>
    <s v="PROMO-00"/>
    <s v="Credit Card"/>
    <n v="448"/>
    <s v="2024-03-11"/>
    <n v="3"/>
    <s v="Holi"/>
    <s v="Promoted"/>
    <s v="Known Employee"/>
    <n v="4"/>
    <x v="2"/>
  </r>
  <r>
    <s v="TRN-9578"/>
    <s v="CUST-1084"/>
    <s v="STO-01"/>
    <s v="EMP-0104"/>
    <s v="PROMO-01"/>
    <s v="Debit Card"/>
    <n v="472.6"/>
    <s v="2024-03-12"/>
    <n v="3"/>
    <s v="Holi"/>
    <s v="Promoted"/>
    <s v="Known Employee"/>
    <n v="2"/>
    <x v="2"/>
  </r>
  <r>
    <s v="TRN-9798"/>
    <s v="CUST-1033"/>
    <s v="STO-04"/>
    <s v="EMP-0405"/>
    <s v="PROMO-01"/>
    <s v="Mobile Payment"/>
    <n v="102"/>
    <s v="2024-03-14"/>
    <n v="3"/>
    <s v="Holi"/>
    <s v="Promoted"/>
    <s v="Known Employee"/>
    <n v="3"/>
    <x v="2"/>
  </r>
  <r>
    <s v=" TRN-9557 "/>
    <s v="CUST-1178"/>
    <s v="STO-01"/>
    <s v="EMP-0105"/>
    <s v="PROMO-00"/>
    <s v="Credit Card"/>
    <n v="204"/>
    <s v="2024-03-16"/>
    <n v="3"/>
    <s v="Holi"/>
    <s v="Promoted"/>
    <s v="Known Employee"/>
    <n v="7"/>
    <x v="2"/>
  </r>
  <r>
    <s v="TRN-9400"/>
    <s v="CUST-1011"/>
    <s v=" STO-02 "/>
    <s v="EMP-0202"/>
    <s v="PROMO-00"/>
    <s v="Mobile Payment"/>
    <n v="491"/>
    <s v="2024-03-18"/>
    <n v="3"/>
    <s v="Holi"/>
    <s v="Promoted"/>
    <s v="Known Employee"/>
    <n v="4"/>
    <x v="2"/>
  </r>
  <r>
    <s v="TRN-9026"/>
    <s v="CUST-1078"/>
    <s v="STO-02"/>
    <s v="EMP-0202"/>
    <s v=" PROMO-00 "/>
    <s v="Cash"/>
    <n v="645"/>
    <s v="2024-03-18"/>
    <n v="3"/>
    <s v="Holi"/>
    <s v="Promoted"/>
    <s v="Known Employee"/>
    <n v="4"/>
    <x v="2"/>
  </r>
  <r>
    <s v="TRN-9034"/>
    <s v="CUST-1100"/>
    <s v="STO-01"/>
    <s v="EMP-0105"/>
    <s v="PROMO-00"/>
    <s v="Debit Card"/>
    <n v="355"/>
    <s v="2024-03-19"/>
    <n v="3"/>
    <s v="Holi"/>
    <s v="Promoted"/>
    <s v="Known Employee"/>
    <n v="4"/>
    <x v="2"/>
  </r>
  <r>
    <s v="TRN-9351"/>
    <s v="CUST-1153"/>
    <s v="STO-02"/>
    <s v="EMP-0204"/>
    <s v="No Promotion"/>
    <s v="Credit Card"/>
    <n v="232.75"/>
    <s v="2024-03-19"/>
    <n v="3"/>
    <s v="Holi"/>
    <s v="Not Promoted"/>
    <s v="Known Employee"/>
    <n v="7"/>
    <x v="2"/>
  </r>
  <r>
    <s v="TRN-9901"/>
    <s v="CUST-1184"/>
    <s v="STO-02"/>
    <s v="EMP-0205"/>
    <s v="PROMO-00"/>
    <s v="Cash"/>
    <n v="180"/>
    <s v="2024-03-24"/>
    <n v="3"/>
    <s v="Holi"/>
    <s v="Promoted"/>
    <s v="Known Employee"/>
    <n v="4"/>
    <x v="2"/>
  </r>
  <r>
    <s v="TRN-9952"/>
    <s v="CUST-1112"/>
    <s v="STO-01"/>
    <s v="EMP-0105"/>
    <s v="PROMO-00"/>
    <s v="Cash"/>
    <n v="170"/>
    <s v="2024-03-25"/>
    <n v="3"/>
    <s v="Holi"/>
    <s v="Promoted"/>
    <s v="Known Employee"/>
    <n v="4"/>
    <x v="2"/>
  </r>
  <r>
    <s v="TRN-9451"/>
    <s v="CUST-1012"/>
    <s v="Unknown"/>
    <s v="Unknown"/>
    <s v="PROMO-00"/>
    <s v="Debit Card"/>
    <n v="123"/>
    <s v="2024-03-26"/>
    <n v="3"/>
    <s v="Holi"/>
    <s v="Promoted"/>
    <s v="UnKnown Employee"/>
    <n v="3"/>
    <x v="2"/>
  </r>
  <r>
    <s v="TRN-9724"/>
    <s v=" CUST-1050 "/>
    <s v="STO-04"/>
    <s v="EMP-0401"/>
    <s v="PROMO-00"/>
    <s v="Credit Card"/>
    <n v="280"/>
    <s v="2024-03-27"/>
    <n v="3"/>
    <s v="Holi"/>
    <s v="Promoted"/>
    <s v="Known Employee"/>
    <n v="2"/>
    <x v="2"/>
  </r>
  <r>
    <s v="TRN-9151"/>
    <s v="CUST-1196"/>
    <s v="STO-04"/>
    <s v="Unknown"/>
    <s v="PROMO-00"/>
    <s v="Debit Card"/>
    <n v="255"/>
    <s v="2024-03-27"/>
    <n v="3"/>
    <s v="Holi"/>
    <s v="Promoted"/>
    <s v="UnKnown Employee"/>
    <n v="5"/>
    <x v="2"/>
  </r>
  <r>
    <s v="TRN-9113"/>
    <s v="CUST-1121"/>
    <s v="STO-03"/>
    <s v="EMP-0301"/>
    <s v="PROMO-00"/>
    <s v=" Cash "/>
    <n v="165"/>
    <s v="2024-03-29"/>
    <n v="3"/>
    <s v="Holi"/>
    <s v="Promoted"/>
    <s v="Known Employee"/>
    <n v="3"/>
    <x v="2"/>
  </r>
  <r>
    <s v="TRN-9224"/>
    <s v="CUST-1083"/>
    <s v="STO-03"/>
    <s v="EMP-0305"/>
    <s v="PROMO-02"/>
    <s v="Mobile Payment"/>
    <n v="148.5"/>
    <s v="2024-04-02"/>
    <n v="4"/>
    <s v="Regular"/>
    <s v="Promoted"/>
    <s v="Known Employee"/>
    <n v="2"/>
    <x v="3"/>
  </r>
  <r>
    <s v="TRN-9184"/>
    <s v="CUST-1124"/>
    <s v="STO-04"/>
    <s v="EMP-0402"/>
    <s v="PROMO-00"/>
    <s v=" Debit Card "/>
    <n v="521"/>
    <s v="2024-04-05"/>
    <n v="4"/>
    <s v="Regular"/>
    <s v="Promoted"/>
    <s v="Known Employee"/>
    <n v="4"/>
    <x v="3"/>
  </r>
  <r>
    <s v="TRN-9562"/>
    <s v="CUST-1002"/>
    <s v="STO-02"/>
    <s v="EMP-0204"/>
    <s v="PROMO-00"/>
    <s v="Debit Card"/>
    <n v="300"/>
    <s v="2024-04-08"/>
    <n v="4"/>
    <s v="Regular"/>
    <s v="Promoted"/>
    <s v="Known Employee"/>
    <n v="5"/>
    <x v="3"/>
  </r>
  <r>
    <s v="TRN-9694"/>
    <s v="CUST-1047"/>
    <s v="Unknown"/>
    <s v="EMP-0202"/>
    <s v="PROMO-00"/>
    <s v="Credit Card"/>
    <n v="334"/>
    <s v="2024-04-08"/>
    <n v="4"/>
    <s v="Regular"/>
    <s v="Promoted"/>
    <s v="Known Employee"/>
    <n v="5"/>
    <x v="3"/>
  </r>
  <r>
    <s v="TRN-9397"/>
    <s v="CUST-1074"/>
    <s v="STO-01"/>
    <s v="EMP-0101"/>
    <s v="PROMO-00"/>
    <s v="Mobile Payment"/>
    <n v="454"/>
    <s v="2024-04-12"/>
    <n v="4"/>
    <s v="Regular"/>
    <s v="Promoted"/>
    <s v="Known Employee"/>
    <n v="6"/>
    <x v="3"/>
  </r>
  <r>
    <s v="TRN-9345"/>
    <s v="CUST-1097"/>
    <s v="STO-02"/>
    <s v="EMP-0205"/>
    <s v="PROMO-00"/>
    <s v=" Credit Card "/>
    <n v="470"/>
    <s v="2024-04-16"/>
    <n v="4"/>
    <s v="Regular"/>
    <s v="Promoted"/>
    <s v="Known Employee"/>
    <n v="5"/>
    <x v="3"/>
  </r>
  <r>
    <s v="TRN-9894"/>
    <s v="CUST-1167"/>
    <s v="STO-01"/>
    <s v="EMP-0102"/>
    <s v="PROMO-00"/>
    <s v="Credit Card"/>
    <n v="639"/>
    <s v="2024-04-17"/>
    <n v="4"/>
    <s v="Regular"/>
    <s v="Promoted"/>
    <s v="Known Employee"/>
    <n v="2"/>
    <x v="3"/>
  </r>
  <r>
    <s v="TRN-9714"/>
    <s v="CUST-1179"/>
    <s v="STO-04"/>
    <s v="EMP-0401"/>
    <s v="PROMO-01"/>
    <s v="Cash"/>
    <n v="127.5"/>
    <s v="2024-04-19"/>
    <n v="4"/>
    <s v="Regular"/>
    <s v="Promoted"/>
    <s v="Known Employee"/>
    <n v="7"/>
    <x v="3"/>
  </r>
  <r>
    <s v="TRN-9359"/>
    <s v="CUST-1065"/>
    <s v="STO-04"/>
    <s v="EMP-0404"/>
    <s v="PROMO-00"/>
    <s v="Credit Card"/>
    <n v="355"/>
    <s v="2024-04-20"/>
    <n v="4"/>
    <s v="Regular"/>
    <s v="Promoted"/>
    <s v="Known Employee"/>
    <n v="9"/>
    <x v="3"/>
  </r>
  <r>
    <s v="TRN-9955"/>
    <s v="CUST-1151"/>
    <s v="STO-02"/>
    <s v="EMP-0201"/>
    <s v="PROMO-00"/>
    <s v="Credit Card"/>
    <n v="644"/>
    <s v="2024-04-20"/>
    <n v="4"/>
    <s v="Regular"/>
    <s v="Promoted"/>
    <s v="Known Employee"/>
    <n v="4"/>
    <x v="3"/>
  </r>
  <r>
    <s v="TRN-9608"/>
    <s v="CUST-1071"/>
    <s v="STO-04"/>
    <s v="EMP-0403"/>
    <s v="PROMO-01"/>
    <s v="Credit Card"/>
    <n v="55.25"/>
    <s v="2024-04-23"/>
    <n v="4"/>
    <s v="Regular"/>
    <s v="Promoted"/>
    <s v="Known Employee"/>
    <n v="4"/>
    <x v="3"/>
  </r>
  <r>
    <s v="TRN-9185"/>
    <s v=" CUST-1105 "/>
    <s v="STO-04"/>
    <s v="EMP-0405"/>
    <s v="PROMO-00"/>
    <s v="Cash"/>
    <n v="160"/>
    <s v="2024-04-26"/>
    <n v="4"/>
    <s v="Regular"/>
    <s v="Promoted"/>
    <s v="Known Employee"/>
    <n v="1"/>
    <x v="3"/>
  </r>
  <r>
    <s v="TRN-9912"/>
    <s v="CUST-1188"/>
    <s v=" STO-01 "/>
    <s v="EMP-0101"/>
    <s v="PROMO-00"/>
    <s v="Cash"/>
    <n v="201"/>
    <s v="2024-04-30"/>
    <n v="4"/>
    <s v="Regular"/>
    <s v="Promoted"/>
    <s v="Known Employee"/>
    <n v="2"/>
    <x v="3"/>
  </r>
  <r>
    <s v="TRN-9311"/>
    <s v="CUST-1077"/>
    <s v="Unknown"/>
    <s v=" EMP-0201 "/>
    <s v="PROMO-00"/>
    <s v="Mobile Payment"/>
    <n v="413"/>
    <s v="2024-05-02"/>
    <n v="5"/>
    <s v="Regular"/>
    <s v="Promoted"/>
    <s v="Known Employee"/>
    <n v="5"/>
    <x v="4"/>
  </r>
  <r>
    <s v="TRN-9274"/>
    <s v="CUST-1145"/>
    <s v="STO-01"/>
    <s v="EMP-0101"/>
    <s v="PROMO-00"/>
    <s v=" Credit Card "/>
    <n v="435"/>
    <s v="2024-05-02"/>
    <n v="5"/>
    <s v="Regular"/>
    <s v="Promoted"/>
    <s v="Known Employee"/>
    <n v="3"/>
    <x v="4"/>
  </r>
  <r>
    <s v="TRN-9178"/>
    <s v="CUST-1094"/>
    <s v="STO-01"/>
    <s v="EMP-0103"/>
    <s v="PROMO-00"/>
    <s v="Mobile Payment"/>
    <n v="600"/>
    <s v="2024-05-03"/>
    <n v="5"/>
    <s v="Regular"/>
    <s v="Promoted"/>
    <s v="Known Employee"/>
    <n v="5"/>
    <x v="4"/>
  </r>
  <r>
    <s v="TRN-9715"/>
    <s v="CUST-1109"/>
    <s v="STO-03"/>
    <s v="EMP-0302"/>
    <s v="PROMO-00"/>
    <s v="Cash"/>
    <n v="522"/>
    <s v="2024-05-03"/>
    <n v="5"/>
    <s v="Regular"/>
    <s v="Promoted"/>
    <s v="Known Employee"/>
    <n v="5"/>
    <x v="4"/>
  </r>
  <r>
    <s v="TRN-9755"/>
    <s v="CUST-1119"/>
    <s v="STO-01"/>
    <s v="EMP-0101"/>
    <s v="PROMO-00"/>
    <s v="Credit Card"/>
    <n v="410"/>
    <s v="2024-05-03"/>
    <n v="5"/>
    <s v="Regular"/>
    <s v="Promoted"/>
    <s v="Known Employee"/>
    <n v="6"/>
    <x v="4"/>
  </r>
  <r>
    <s v="TRN-9168"/>
    <s v="CUST-1129"/>
    <s v="STO-03"/>
    <s v="EMP-0303"/>
    <s v="No Promotion"/>
    <s v="Mobile Payment"/>
    <n v="354"/>
    <s v="2024-05-04"/>
    <n v="5"/>
    <s v="Regular"/>
    <s v="Not Promoted"/>
    <s v="Known Employee"/>
    <n v="4"/>
    <x v="4"/>
  </r>
  <r>
    <s v="TRN-9466"/>
    <s v="CUST-1047"/>
    <s v="STO-04"/>
    <s v="EMP-0403"/>
    <s v=" PROMO-00 "/>
    <s v="Cash"/>
    <n v="85"/>
    <s v="2024-05-08"/>
    <n v="5"/>
    <s v="Regular"/>
    <s v="Promoted"/>
    <s v="Known Employee"/>
    <n v="5"/>
    <x v="4"/>
  </r>
  <r>
    <s v="TRN-9448"/>
    <s v="CUST-1114"/>
    <s v="STO-04"/>
    <s v="EMP-0404"/>
    <s v="PROMO-02"/>
    <s v="Mobile Payment"/>
    <n v="49.5"/>
    <s v="2024-05-08"/>
    <n v="5"/>
    <s v="Regular"/>
    <s v="Promoted"/>
    <s v="Known Employee"/>
    <n v="4"/>
    <x v="4"/>
  </r>
  <r>
    <s v="TRN-9953"/>
    <s v="CUST-1181"/>
    <s v="STO-03"/>
    <s v="EMP-0303"/>
    <s v="PROMO-03"/>
    <s v=" Debit Card "/>
    <n v="110.2"/>
    <s v="2024-05-08"/>
    <n v="5"/>
    <s v="Regular"/>
    <s v="Promoted"/>
    <s v="Known Employee"/>
    <n v="2"/>
    <x v="4"/>
  </r>
  <r>
    <s v="TRN-9207"/>
    <s v="CUST-1117"/>
    <s v="STO-02"/>
    <s v="EMP-0205"/>
    <s v="PROMO-00"/>
    <s v="Cash"/>
    <n v="430"/>
    <s v="2024-05-09"/>
    <n v="5"/>
    <s v="Regular"/>
    <s v="Promoted"/>
    <s v="Known Employee"/>
    <n v="5"/>
    <x v="4"/>
  </r>
  <r>
    <s v="TRN-9563"/>
    <s v="CUST-1025"/>
    <s v=" STO-01 "/>
    <s v="EMP-0105"/>
    <s v="PROMO-00"/>
    <s v="Cash"/>
    <n v="260"/>
    <s v="2024-05-10"/>
    <n v="5"/>
    <s v="Regular"/>
    <s v="Promoted"/>
    <s v="Known Employee"/>
    <n v="5"/>
    <x v="4"/>
  </r>
  <r>
    <s v=" TRN-9882 "/>
    <s v="CUST-1117"/>
    <s v="STO-01"/>
    <s v="EMP-0102"/>
    <s v="PROMO-01"/>
    <s v="Unknown"/>
    <n v="353.6"/>
    <s v="2024-05-10"/>
    <n v="5"/>
    <s v="Regular"/>
    <s v="Promoted"/>
    <s v="Known Employee"/>
    <n v="5"/>
    <x v="4"/>
  </r>
  <r>
    <s v="TRN-9387"/>
    <s v="CUST-1150"/>
    <s v="STO-02"/>
    <s v="EMP-0205"/>
    <s v="PROMO-00"/>
    <s v="Credit Card"/>
    <n v="210"/>
    <s v="2024-05-10"/>
    <n v="5"/>
    <s v="Regular"/>
    <s v="Promoted"/>
    <s v="Known Employee"/>
    <n v="3"/>
    <x v="4"/>
  </r>
  <r>
    <s v="TRN-9378"/>
    <s v="CUST-1024"/>
    <s v="STO-03"/>
    <s v="EMP-0303"/>
    <s v="PROMO-00"/>
    <s v="Mobile Payment"/>
    <n v="466"/>
    <s v="2024-05-11"/>
    <n v="5"/>
    <s v="Regular"/>
    <s v="Promoted"/>
    <s v="Known Employee"/>
    <n v="4"/>
    <x v="4"/>
  </r>
  <r>
    <s v="TRN-9993"/>
    <s v="CUST-1182"/>
    <s v="STO-01"/>
    <s v="EMP-0105"/>
    <s v="No Promotion"/>
    <s v="Mobile Payment"/>
    <n v="170"/>
    <s v="2024-05-14"/>
    <n v="5"/>
    <s v="Regular"/>
    <s v="Not Promoted"/>
    <s v="Known Employee"/>
    <n v="4"/>
    <x v="4"/>
  </r>
  <r>
    <s v="TRN-9963"/>
    <s v="CUST-1003"/>
    <s v="STO-03"/>
    <s v="EMP-0301"/>
    <s v="PROMO-00"/>
    <s v="Cash"/>
    <n v="180"/>
    <s v="2024-05-15"/>
    <n v="5"/>
    <s v="Regular"/>
    <s v="Promoted"/>
    <s v="Known Employee"/>
    <n v="6"/>
    <x v="4"/>
  </r>
  <r>
    <s v="TRN-9586"/>
    <s v="CUST-1048"/>
    <s v="STO-02"/>
    <s v="EMP-0204"/>
    <s v="PROMO-01"/>
    <s v="Debit Card"/>
    <n v="525.29999999999995"/>
    <s v="2024-05-17"/>
    <n v="5"/>
    <s v="Regular"/>
    <s v="Promoted"/>
    <s v="Known Employee"/>
    <n v="8"/>
    <x v="4"/>
  </r>
  <r>
    <s v="TRN-9878"/>
    <s v="CUST-1078"/>
    <s v="STO-04"/>
    <s v="EMP-0403"/>
    <s v="PROMO-01"/>
    <s v="Debit Card"/>
    <n v="266.89999999999998"/>
    <s v="2024-05-17"/>
    <n v="5"/>
    <s v="Regular"/>
    <s v="Promoted"/>
    <s v="Known Employee"/>
    <n v="4"/>
    <x v="4"/>
  </r>
  <r>
    <s v="TRN-9179"/>
    <s v="CUST-1042"/>
    <s v=" STO-01 "/>
    <s v=" EMP-0101 "/>
    <s v="PROMO-02"/>
    <s v="Cash"/>
    <n v="135"/>
    <s v="2024-05-21"/>
    <n v="5"/>
    <s v="Regular"/>
    <s v="Promoted"/>
    <s v="Known Employee"/>
    <n v="7"/>
    <x v="4"/>
  </r>
  <r>
    <s v="TRN-9780"/>
    <s v="CUST-1061"/>
    <s v="STO-01"/>
    <s v="EMP-0102"/>
    <s v="PROMO-00"/>
    <s v=" Debit Card "/>
    <n v="116"/>
    <s v="2024-05-24"/>
    <n v="5"/>
    <s v="Regular"/>
    <s v="Promoted"/>
    <s v="Known Employee"/>
    <n v="2"/>
    <x v="4"/>
  </r>
  <r>
    <s v="TRN-9883"/>
    <s v="CUST-1074"/>
    <s v="STO-01"/>
    <s v="EMP-0101"/>
    <s v="PROMO-00"/>
    <s v="Credit Card"/>
    <n v="561"/>
    <s v="2024-05-28"/>
    <n v="5"/>
    <s v="Regular"/>
    <s v="Promoted"/>
    <s v="Known Employee"/>
    <n v="6"/>
    <x v="4"/>
  </r>
  <r>
    <s v="TRN-9464"/>
    <s v="CUST-1151"/>
    <s v="STO-03"/>
    <s v="EMP-0301"/>
    <s v="PROMO-02"/>
    <s v="Mobile Payment"/>
    <n v="108"/>
    <s v="2024-05-30"/>
    <n v="5"/>
    <s v="Regular"/>
    <s v="Promoted"/>
    <s v="Known Employee"/>
    <n v="4"/>
    <x v="4"/>
  </r>
  <r>
    <s v="TRN-9839"/>
    <s v="CUST-1011"/>
    <s v=" STO-04 "/>
    <s v="EMP-0405"/>
    <s v="PROMO-02"/>
    <s v="Credit Card"/>
    <n v="166.5"/>
    <s v="2024-05-31"/>
    <n v="5"/>
    <s v="Regular"/>
    <s v="Promoted"/>
    <s v="Known Employee"/>
    <n v="4"/>
    <x v="4"/>
  </r>
  <r>
    <s v="TRN-9719"/>
    <s v="CUST-1087"/>
    <s v="STO-01"/>
    <s v="EMP-0105"/>
    <s v=" PROMO-00 "/>
    <s v="Debit Card"/>
    <n v="644"/>
    <s v="2024-06-01"/>
    <n v="6"/>
    <s v="Regular"/>
    <s v="Promoted"/>
    <s v="Known Employee"/>
    <n v="3"/>
    <x v="5"/>
  </r>
  <r>
    <s v="TRN-9289"/>
    <s v="CUST-1116"/>
    <s v="STO-04"/>
    <s v="EMP-0405"/>
    <s v="PROMO-00"/>
    <s v="Cash"/>
    <n v="110"/>
    <s v="2024-06-02"/>
    <n v="6"/>
    <s v="Regular"/>
    <s v="Promoted"/>
    <s v="Known Employee"/>
    <n v="2"/>
    <x v="5"/>
  </r>
  <r>
    <s v="TRN-9747"/>
    <s v="CUST-1133"/>
    <s v="STO-04"/>
    <s v="EMP-0403"/>
    <s v="PROMO-00"/>
    <s v="Debit Card"/>
    <n v="495"/>
    <s v="2024-06-02"/>
    <n v="6"/>
    <s v="Regular"/>
    <s v="Promoted"/>
    <s v="Known Employee"/>
    <n v="4"/>
    <x v="5"/>
  </r>
  <r>
    <s v="TRN-9698"/>
    <s v="CUST-1135"/>
    <s v=" STO-02 "/>
    <s v="EMP-0201"/>
    <s v="PROMO-00"/>
    <s v="Cash"/>
    <n v="611"/>
    <s v="2024-06-04"/>
    <n v="6"/>
    <s v="Regular"/>
    <s v="Promoted"/>
    <s v="Known Employee"/>
    <n v="4"/>
    <x v="5"/>
  </r>
  <r>
    <s v="TRN-9465"/>
    <s v="CUST-1099"/>
    <s v="STO-02"/>
    <s v="EMP-0204"/>
    <s v="PROMO-00"/>
    <s v="Cash"/>
    <n v="190"/>
    <s v="2024-06-07"/>
    <n v="6"/>
    <s v="Regular"/>
    <s v="Promoted"/>
    <s v="Known Employee"/>
    <n v="1"/>
    <x v="5"/>
  </r>
  <r>
    <s v="TRN-9076"/>
    <s v="CUST-1118"/>
    <s v=" STO-04 "/>
    <s v="Unknown"/>
    <s v="PROMO-00"/>
    <s v="Cash"/>
    <n v="341"/>
    <s v="2024-06-07"/>
    <n v="6"/>
    <s v="Regular"/>
    <s v="Promoted"/>
    <s v="UnKnown Employee"/>
    <n v="4"/>
    <x v="5"/>
  </r>
  <r>
    <s v="TRN-9533"/>
    <s v="CUST-1183"/>
    <s v="STO-03"/>
    <s v="EMP-0301"/>
    <s v=" PROMO-00 "/>
    <s v="Cash"/>
    <n v="410"/>
    <s v="2024-06-12"/>
    <n v="6"/>
    <s v="Regular"/>
    <s v="Promoted"/>
    <s v="Known Employee"/>
    <n v="3"/>
    <x v="5"/>
  </r>
  <r>
    <s v="TRN-9427"/>
    <s v="CUST-1042"/>
    <s v="STO-04"/>
    <s v="EMP-0403"/>
    <s v="PROMO-00"/>
    <s v="Cash"/>
    <n v="370"/>
    <s v="2024-06-13"/>
    <n v="6"/>
    <s v="Regular"/>
    <s v="Promoted"/>
    <s v="Known Employee"/>
    <n v="7"/>
    <x v="5"/>
  </r>
  <r>
    <s v="TRN-9287"/>
    <s v="CUST-1176"/>
    <s v="STO-03"/>
    <s v="EMP-0305"/>
    <s v="PROMO-00"/>
    <s v="Debit Card"/>
    <n v="296"/>
    <s v="2024-06-14"/>
    <n v="6"/>
    <s v="Regular"/>
    <s v="Promoted"/>
    <s v="Known Employee"/>
    <n v="4"/>
    <x v="5"/>
  </r>
  <r>
    <s v="TRN-9109"/>
    <s v="CUST-1122"/>
    <s v="STO-01"/>
    <s v="EMP-0104"/>
    <s v="PROMO-03"/>
    <s v="Mobile Payment"/>
    <n v="290.7"/>
    <s v="2024-06-15"/>
    <n v="6"/>
    <s v="Regular"/>
    <s v="Promoted"/>
    <s v="Known Employee"/>
    <n v="3"/>
    <x v="5"/>
  </r>
  <r>
    <s v="TRN-9802"/>
    <s v="CUST-1190"/>
    <s v="STO-01"/>
    <s v="EMP-0103"/>
    <s v="PROMO-03"/>
    <s v="Credit Card"/>
    <n v="109.25"/>
    <s v="2024-06-15"/>
    <n v="6"/>
    <s v="Regular"/>
    <s v="Promoted"/>
    <s v="Known Employee"/>
    <n v="6"/>
    <x v="5"/>
  </r>
  <r>
    <s v="TRN-9876"/>
    <s v="CUST-1190"/>
    <s v="STO-04"/>
    <s v="EMP-0404"/>
    <s v="PROMO-02"/>
    <s v="Cash"/>
    <n v="171"/>
    <s v="2024-06-15"/>
    <n v="6"/>
    <s v="Regular"/>
    <s v="Promoted"/>
    <s v="Known Employee"/>
    <n v="6"/>
    <x v="5"/>
  </r>
  <r>
    <s v="TRN-9646"/>
    <s v="CUST-1028"/>
    <s v="STO-03"/>
    <s v="EMP-0305"/>
    <s v="PROMO-00"/>
    <s v="Credit Card"/>
    <n v="95"/>
    <s v="2024-06-17"/>
    <n v="6"/>
    <s v="Regular"/>
    <s v="Promoted"/>
    <s v="Known Employee"/>
    <n v="4"/>
    <x v="5"/>
  </r>
  <r>
    <s v="TRN-9515"/>
    <s v="CUST-1069"/>
    <s v="STO-04"/>
    <s v="EMP-0401"/>
    <s v="PROMO-01"/>
    <s v="Credit Card"/>
    <n v="327.25"/>
    <s v="2024-06-18"/>
    <n v="6"/>
    <s v="Regular"/>
    <s v="Promoted"/>
    <s v="Known Employee"/>
    <n v="4"/>
    <x v="5"/>
  </r>
  <r>
    <s v="TRN-9736"/>
    <s v="CUST-1065"/>
    <s v="STO-01"/>
    <s v="EMP-0105"/>
    <s v="PROMO-01"/>
    <s v="Mobile Payment"/>
    <n v="398.65"/>
    <s v="2024-06-19"/>
    <n v="6"/>
    <s v="Regular"/>
    <s v="Promoted"/>
    <s v="Known Employee"/>
    <n v="9"/>
    <x v="5"/>
  </r>
  <r>
    <s v="TRN-9716"/>
    <s v="CUST-1133"/>
    <s v=" STO-03 "/>
    <s v="EMP-0303"/>
    <s v="PROMO-00"/>
    <s v="Credit Card"/>
    <n v="560"/>
    <s v="2024-06-20"/>
    <n v="6"/>
    <s v="Regular"/>
    <s v="Promoted"/>
    <s v="Known Employee"/>
    <n v="4"/>
    <x v="5"/>
  </r>
  <r>
    <s v="TRN-9484"/>
    <s v="CUST-1054"/>
    <s v="STO-01"/>
    <s v="EMP-0101"/>
    <s v="PROMO-00"/>
    <s v="Cash"/>
    <n v="399"/>
    <s v="2024-06-22"/>
    <n v="6"/>
    <s v="Regular"/>
    <s v="Promoted"/>
    <s v="Known Employee"/>
    <n v="4"/>
    <x v="5"/>
  </r>
  <r>
    <s v="TRN-9965"/>
    <s v="CUST-1131"/>
    <s v="STO-01"/>
    <s v="EMP-0101"/>
    <s v="PROMO-00"/>
    <s v="Mobile Payment"/>
    <n v="348"/>
    <s v="2024-06-22"/>
    <n v="6"/>
    <s v="Regular"/>
    <s v="Promoted"/>
    <s v="Known Employee"/>
    <n v="7"/>
    <x v="5"/>
  </r>
  <r>
    <s v="TRN-9140"/>
    <s v="CUST-1142"/>
    <s v="STO-02"/>
    <s v="EMP-0205"/>
    <s v="PROMO-02"/>
    <s v="Debit Card"/>
    <n v="256.5"/>
    <s v="2024-06-22"/>
    <n v="6"/>
    <s v="Regular"/>
    <s v="Promoted"/>
    <s v="Known Employee"/>
    <n v="4"/>
    <x v="5"/>
  </r>
  <r>
    <s v="TRN-9019"/>
    <s v="CUST-1192"/>
    <s v="STO-01"/>
    <s v="EMP-0101"/>
    <s v="PROMO-00"/>
    <s v="Unknown"/>
    <n v="340"/>
    <s v="2024-06-25"/>
    <n v="6"/>
    <s v="Regular"/>
    <s v="Promoted"/>
    <s v="Known Employee"/>
    <n v="5"/>
    <x v="5"/>
  </r>
  <r>
    <s v="TRN-9066"/>
    <s v="CUST-1197"/>
    <s v="STO-03"/>
    <s v="EMP-0305"/>
    <s v="PROMO-00"/>
    <s v="Cash"/>
    <n v="370"/>
    <s v="2024-06-26"/>
    <n v="6"/>
    <s v="Regular"/>
    <s v="Promoted"/>
    <s v="Known Employee"/>
    <n v="4"/>
    <x v="5"/>
  </r>
  <r>
    <s v="TRN-9737"/>
    <s v="CUST-1168"/>
    <m/>
    <s v="EMP-0303"/>
    <s v="PROMO-00"/>
    <s v=" Mobile Payment "/>
    <n v="835"/>
    <s v="2024-07-03"/>
    <n v="7"/>
    <s v="Regular"/>
    <s v="Promoted"/>
    <s v="Known Employee"/>
    <n v="2"/>
    <x v="6"/>
  </r>
  <r>
    <s v="TRN-9156"/>
    <s v="CUST-1040"/>
    <s v="STO-04"/>
    <s v=" EMP-0401 "/>
    <s v="PROMO-00"/>
    <s v="Credit Card"/>
    <n v="370"/>
    <s v="2024-07-04"/>
    <n v="7"/>
    <s v="Regular"/>
    <s v="Promoted"/>
    <s v="Known Employee"/>
    <n v="5"/>
    <x v="6"/>
  </r>
  <r>
    <s v="TRN-9673"/>
    <s v="CUST-1135"/>
    <s v="STO-01"/>
    <s v="EMP-0102"/>
    <s v="PROMO-01"/>
    <s v="Debit Card"/>
    <n v="425"/>
    <s v="2024-07-05"/>
    <n v="7"/>
    <s v="Regular"/>
    <s v="Promoted"/>
    <s v="Known Employee"/>
    <n v="4"/>
    <x v="6"/>
  </r>
  <r>
    <s v="TRN-9130"/>
    <s v="CUST-1171"/>
    <s v=" STO-04 "/>
    <s v="EMP-0405"/>
    <s v="PROMO-00"/>
    <s v="Cash"/>
    <n v="150"/>
    <s v="2024-07-05"/>
    <n v="7"/>
    <s v="Regular"/>
    <s v="Promoted"/>
    <s v="Known Employee"/>
    <n v="5"/>
    <x v="6"/>
  </r>
  <r>
    <s v="TRN-9487"/>
    <s v="CUST-1048"/>
    <s v="STO-04"/>
    <s v="EMP-0402"/>
    <s v="PROMO-00"/>
    <s v=" Debit Card "/>
    <n v="430"/>
    <s v="2024-07-06"/>
    <n v="7"/>
    <s v="Regular"/>
    <s v="Promoted"/>
    <s v="Known Employee"/>
    <n v="8"/>
    <x v="6"/>
  </r>
  <r>
    <s v="TRN-9519"/>
    <s v="CUST-1142"/>
    <s v="STO-03"/>
    <s v="EMP-0302"/>
    <s v="PROMO-01"/>
    <s v="Cash"/>
    <n v="613.70000000000005"/>
    <s v="2024-07-07"/>
    <n v="7"/>
    <s v="Regular"/>
    <s v="Promoted"/>
    <s v="Known Employee"/>
    <n v="4"/>
    <x v="6"/>
  </r>
  <r>
    <s v="TRN-9769"/>
    <s v="CUST-1017"/>
    <s v="STO-02"/>
    <s v="EMP-0204"/>
    <s v="PROMO-00"/>
    <s v="Credit Card"/>
    <n v="405"/>
    <s v="2024-07-09"/>
    <n v="7"/>
    <s v="Regular"/>
    <s v="Promoted"/>
    <s v="Known Employee"/>
    <n v="6"/>
    <x v="6"/>
  </r>
  <r>
    <s v="TRN-9001"/>
    <s v="CUST-1020"/>
    <s v=" STO-01 "/>
    <s v="EMP-0104"/>
    <s v="PROMO-00"/>
    <s v="Cash"/>
    <n v="535"/>
    <s v="2024-07-09"/>
    <n v="7"/>
    <s v="Regular"/>
    <s v="Promoted"/>
    <s v="Known Employee"/>
    <n v="6"/>
    <x v="6"/>
  </r>
  <r>
    <s v="TRN-9097"/>
    <s v="CUST-1158"/>
    <s v="STO-02"/>
    <s v="EMP-0203"/>
    <s v="PROMO-03"/>
    <s v="Credit Card"/>
    <n v="205.2"/>
    <s v="2024-07-10"/>
    <n v="7"/>
    <s v="Regular"/>
    <s v="Promoted"/>
    <s v="Known Employee"/>
    <n v="2"/>
    <x v="6"/>
  </r>
  <r>
    <s v="TRN-9408"/>
    <s v="CUST-1056"/>
    <s v="STO-01"/>
    <s v=" EMP-0103 "/>
    <s v="PROMO-02"/>
    <s v="Cash"/>
    <n v="585"/>
    <s v="2024-07-13"/>
    <n v="7"/>
    <s v="Regular"/>
    <s v="Promoted"/>
    <s v="Known Employee"/>
    <n v="3"/>
    <x v="6"/>
  </r>
  <r>
    <s v=" TRN-9624 "/>
    <s v="CUST-1109"/>
    <s v="STO-02"/>
    <s v="EMP-0203"/>
    <s v="PROMO-01"/>
    <s v="Credit Card"/>
    <n v="522.75"/>
    <s v="2024-07-13"/>
    <n v="7"/>
    <s v="Regular"/>
    <s v="Promoted"/>
    <s v="Known Employee"/>
    <n v="5"/>
    <x v="6"/>
  </r>
  <r>
    <s v="TRN-9491"/>
    <s v="CUST-1180"/>
    <s v="STO-02"/>
    <s v="EMP-0202"/>
    <s v="PROMO-00"/>
    <s v=" Credit Card "/>
    <n v="340"/>
    <s v="2024-07-13"/>
    <n v="7"/>
    <s v="Regular"/>
    <s v="Promoted"/>
    <s v="Known Employee"/>
    <n v="4"/>
    <x v="6"/>
  </r>
  <r>
    <s v="TRN-9810"/>
    <s v="CUST-1086"/>
    <s v="STO-01"/>
    <s v="EMP-0104"/>
    <s v="PROMO-00"/>
    <s v="Debit Card"/>
    <n v="223"/>
    <s v="2024-07-14"/>
    <n v="7"/>
    <s v="Regular"/>
    <s v="Promoted"/>
    <s v="Known Employee"/>
    <n v="8"/>
    <x v="6"/>
  </r>
  <r>
    <s v="TRN-9442"/>
    <s v="CUST-1015"/>
    <s v="STO-04"/>
    <s v="EMP-0405"/>
    <s v="PROMO-00"/>
    <s v="Cash"/>
    <n v="640"/>
    <s v="2024-07-15"/>
    <n v="7"/>
    <s v="Regular"/>
    <s v="Promoted"/>
    <s v="Known Employee"/>
    <n v="6"/>
    <x v="6"/>
  </r>
  <r>
    <s v="TRN-9828"/>
    <s v="CUST-1020"/>
    <s v="STO-01"/>
    <s v="EMP-0101"/>
    <s v="PROMO-00"/>
    <s v="Debit Card"/>
    <n v="455"/>
    <s v="2024-07-19"/>
    <n v="7"/>
    <s v="Regular"/>
    <s v="Promoted"/>
    <s v="Known Employee"/>
    <n v="6"/>
    <x v="6"/>
  </r>
  <r>
    <s v="TRN-9971"/>
    <s v="CUST-1105"/>
    <s v="STO-01"/>
    <s v="EMP-0103"/>
    <s v="PROMO-00"/>
    <s v="Debit Card"/>
    <n v="180"/>
    <s v="2024-07-19"/>
    <n v="7"/>
    <s v="Regular"/>
    <s v="Promoted"/>
    <s v="Known Employee"/>
    <n v="3"/>
    <x v="6"/>
  </r>
  <r>
    <s v="TRN-9579"/>
    <s v=" CUST-1136 "/>
    <s v="STO-02"/>
    <s v="EMP-0203"/>
    <s v="PROMO-00"/>
    <s v="Cash"/>
    <n v="570"/>
    <s v="2024-07-25"/>
    <n v="7"/>
    <s v="Regular"/>
    <s v="Promoted"/>
    <s v="Known Employee"/>
    <n v="1"/>
    <x v="6"/>
  </r>
  <r>
    <s v="TRN-9024"/>
    <s v="CUST-1044"/>
    <s v="STO-02"/>
    <s v="EMP-0204"/>
    <s v="PROMO-00"/>
    <s v="Credit Card"/>
    <n v="255"/>
    <s v="2024-07-26"/>
    <n v="7"/>
    <s v="Regular"/>
    <s v="Promoted"/>
    <s v="Known Employee"/>
    <n v="5"/>
    <x v="6"/>
  </r>
  <r>
    <s v="TRN-9551"/>
    <s v="CUST-1024"/>
    <s v="STO-01"/>
    <s v="EMP-0101"/>
    <s v="PROMO-00"/>
    <s v="Cash"/>
    <n v="415"/>
    <s v="2024-08-03"/>
    <n v="8"/>
    <s v="Rakshabandhan"/>
    <s v="Promoted"/>
    <s v="Known Employee"/>
    <n v="4"/>
    <x v="7"/>
  </r>
  <r>
    <s v="TRN-9583"/>
    <s v="CUST-1160"/>
    <s v="STO-04"/>
    <s v="EMP-0402"/>
    <s v="PROMO-00"/>
    <s v="Debit Card"/>
    <n v="601"/>
    <s v="2024-08-05"/>
    <n v="8"/>
    <s v="Rakshabandhan"/>
    <s v="Promoted"/>
    <s v="Known Employee"/>
    <n v="5"/>
    <x v="7"/>
  </r>
  <r>
    <s v="TRN-9183"/>
    <s v="CUST-1082"/>
    <s v="STO-03"/>
    <s v="EMP-0304"/>
    <s v="PROMO-00"/>
    <s v="Unknown"/>
    <n v="465"/>
    <s v="2024-08-07"/>
    <n v="8"/>
    <s v="Rakshabandhan"/>
    <s v="Promoted"/>
    <s v="Known Employee"/>
    <n v="5"/>
    <x v="7"/>
  </r>
  <r>
    <s v="TRN-9909"/>
    <s v="CUST-1126"/>
    <s v="STO-02"/>
    <s v="EMP-0205"/>
    <s v="PROMO-00"/>
    <s v="Mobile Payment"/>
    <n v="160"/>
    <s v="2024-08-07"/>
    <n v="8"/>
    <s v="Rakshabandhan"/>
    <s v="Promoted"/>
    <s v="Known Employee"/>
    <n v="3"/>
    <x v="7"/>
  </r>
  <r>
    <s v="TRN-9517"/>
    <s v="CUST-1031"/>
    <s v="STO-03"/>
    <s v="EMP-0305"/>
    <s v="PROMO-00"/>
    <s v="Mobile Payment"/>
    <n v="414"/>
    <s v="2024-08-12"/>
    <n v="8"/>
    <s v="Rakshabandhan"/>
    <s v="Promoted"/>
    <s v="Known Employee"/>
    <n v="3"/>
    <x v="7"/>
  </r>
  <r>
    <s v="TRN-9499"/>
    <s v=" CUST-1020 "/>
    <s v="STO-04"/>
    <s v="EMP-0404"/>
    <s v="PROMO-03"/>
    <s v="Credit Card"/>
    <n v="755.25"/>
    <s v="2024-08-14"/>
    <n v="8"/>
    <s v="Rakshabandhan"/>
    <s v="Promoted"/>
    <s v="Known Employee"/>
    <n v="2"/>
    <x v="7"/>
  </r>
  <r>
    <s v="TRN-9300"/>
    <s v="CUST-1090"/>
    <s v="STO-02"/>
    <s v="EMP-0201"/>
    <s v="PROMO-03"/>
    <s v="Debit Card"/>
    <n v="302.10000000000002"/>
    <s v="2024-08-14"/>
    <n v="8"/>
    <s v="Rakshabandhan"/>
    <s v="Promoted"/>
    <s v="Known Employee"/>
    <n v="5"/>
    <x v="7"/>
  </r>
  <r>
    <s v=" TRN-9565 "/>
    <s v="CUST-1134"/>
    <s v="STO-04"/>
    <s v="EMP-0402"/>
    <s v="PROMO-00"/>
    <s v="Credit Card"/>
    <n v="640"/>
    <s v="2024-08-14"/>
    <n v="8"/>
    <s v="Rakshabandhan"/>
    <s v="Promoted"/>
    <s v="Known Employee"/>
    <n v="2"/>
    <x v="7"/>
  </r>
  <r>
    <s v="TRN-9340"/>
    <s v="CUST-1046"/>
    <s v="STO-02"/>
    <s v="EMP-0201"/>
    <s v="PROMO-00"/>
    <s v="Credit Card"/>
    <n v="70"/>
    <s v="2024-08-15"/>
    <n v="8"/>
    <s v="Rakshabandhan"/>
    <s v="Promoted"/>
    <s v="Known Employee"/>
    <n v="4"/>
    <x v="7"/>
  </r>
  <r>
    <s v="TRN-9475"/>
    <s v="CUST-1113"/>
    <s v="STO-04"/>
    <s v="EMP-0405"/>
    <s v="No Promotion"/>
    <s v="Debit Card"/>
    <n v="380"/>
    <s v="2024-08-16"/>
    <n v="8"/>
    <s v="Rakshabandhan"/>
    <s v="Not Promoted"/>
    <s v="Known Employee"/>
    <n v="5"/>
    <x v="7"/>
  </r>
  <r>
    <s v="TRN-9473"/>
    <s v="CUST-1153"/>
    <s v=" STO-02 "/>
    <s v=" EMP-0203 "/>
    <s v="PROMO-03"/>
    <s v="Credit Card"/>
    <n v="318.25"/>
    <s v="2024-08-16"/>
    <n v="8"/>
    <s v="Rakshabandhan"/>
    <s v="Promoted"/>
    <s v="Known Employee"/>
    <n v="7"/>
    <x v="7"/>
  </r>
  <r>
    <s v="TRN-9759"/>
    <s v="CUST-1015"/>
    <s v="STO-01"/>
    <s v="EMP-0101"/>
    <s v="PROMO-02"/>
    <s v="Cash"/>
    <n v="207"/>
    <s v="2024-08-18"/>
    <n v="8"/>
    <s v="Rakshabandhan"/>
    <s v="Promoted"/>
    <s v="Known Employee"/>
    <n v="6"/>
    <x v="7"/>
  </r>
  <r>
    <s v="TRN-9182"/>
    <s v="CUST-1042"/>
    <s v="STO-04"/>
    <s v="EMP-0405"/>
    <s v="PROMO-02"/>
    <s v="Credit Card"/>
    <n v="162"/>
    <s v="2024-08-18"/>
    <n v="8"/>
    <s v="Rakshabandhan"/>
    <s v="Promoted"/>
    <s v="Known Employee"/>
    <n v="7"/>
    <x v="7"/>
  </r>
  <r>
    <s v="TRN-9355"/>
    <s v="CUST-1077"/>
    <s v="STO-03"/>
    <s v="EMP-0303"/>
    <s v=" PROMO-03 "/>
    <s v="Credit Card"/>
    <n v="171"/>
    <s v="2024-08-21"/>
    <n v="8"/>
    <s v="Rakshabandhan"/>
    <s v="Promoted"/>
    <s v="Known Employee"/>
    <n v="5"/>
    <x v="7"/>
  </r>
  <r>
    <s v="TRN-9020"/>
    <s v="CUST-1139"/>
    <s v="STO-01"/>
    <s v="EMP-0101"/>
    <s v="PROMO-00"/>
    <s v="Credit Card"/>
    <n v="201"/>
    <s v="2024-08-22"/>
    <n v="8"/>
    <s v="Rakshabandhan"/>
    <s v="Promoted"/>
    <s v="Known Employee"/>
    <n v="3"/>
    <x v="7"/>
  </r>
  <r>
    <s v="TRN-9987"/>
    <s v="CUST-1193"/>
    <s v="STO-04"/>
    <s v="EMP-0405"/>
    <s v="PROMO-00"/>
    <s v="Debit Card"/>
    <n v="310"/>
    <s v="2024-08-24"/>
    <n v="8"/>
    <s v="Rakshabandhan"/>
    <s v="Promoted"/>
    <s v="Known Employee"/>
    <n v="5"/>
    <x v="7"/>
  </r>
  <r>
    <s v="TRN-9616"/>
    <s v="CUST-1023"/>
    <s v="STO-01"/>
    <s v="EMP-0101"/>
    <s v="PROMO-00"/>
    <s v="Credit Card"/>
    <n v="390"/>
    <s v="2024-08-25"/>
    <n v="8"/>
    <s v="Rakshabandhan"/>
    <s v="Promoted"/>
    <s v="Known Employee"/>
    <n v="3"/>
    <x v="7"/>
  </r>
  <r>
    <s v="TRN-9992"/>
    <s v="CUST-1178"/>
    <s v="STO-02"/>
    <s v="EMP-0202"/>
    <s v="PROMO-03"/>
    <s v="Cash"/>
    <n v="408.5"/>
    <s v="2024-08-25"/>
    <n v="8"/>
    <s v="Rakshabandhan"/>
    <s v="Promoted"/>
    <s v="Known Employee"/>
    <n v="7"/>
    <x v="7"/>
  </r>
  <r>
    <s v="TRN-9621"/>
    <s v="CUST-1069"/>
    <s v="STO-03"/>
    <s v="EMP-0305"/>
    <s v="PROMO-01"/>
    <s v="Mobile Payment"/>
    <n v="196.35"/>
    <s v="2024-08-28"/>
    <n v="8"/>
    <s v="Rakshabandhan"/>
    <s v="Promoted"/>
    <s v="Known Employee"/>
    <n v="4"/>
    <x v="7"/>
  </r>
  <r>
    <s v="TRN-9462"/>
    <s v="CUST-1042"/>
    <s v="STO-02"/>
    <s v="EMP-0204"/>
    <s v="PROMO-00"/>
    <s v="Debit Card"/>
    <n v="260"/>
    <s v="2024-08-29"/>
    <n v="8"/>
    <s v="Rakshabandhan"/>
    <s v="Promoted"/>
    <s v="Known Employee"/>
    <n v="7"/>
    <x v="7"/>
  </r>
  <r>
    <s v="TRN-9762"/>
    <s v="CUST-1146"/>
    <s v="STO-03"/>
    <s v="EMP-0301"/>
    <s v="PROMO-00"/>
    <s v="Cash"/>
    <n v="155"/>
    <s v="2024-09-01"/>
    <n v="9"/>
    <s v="Navratri"/>
    <s v="Promoted"/>
    <s v="Known Employee"/>
    <n v="8"/>
    <x v="8"/>
  </r>
  <r>
    <s v="TRN-9149"/>
    <s v="CUST-1022"/>
    <s v="STO-03"/>
    <s v="EMP-0304"/>
    <s v="PROMO-00"/>
    <s v="Debit Card"/>
    <n v="68"/>
    <s v="2024-09-02"/>
    <n v="9"/>
    <s v="Navratri"/>
    <s v="Promoted"/>
    <s v="Known Employee"/>
    <n v="7"/>
    <x v="8"/>
  </r>
  <r>
    <s v="TRN-9879"/>
    <s v="CUST-1119"/>
    <s v="STO-02"/>
    <s v="EMP-0201"/>
    <s v="PROMO-00"/>
    <s v="Credit Card"/>
    <n v="344"/>
    <s v="2024-09-02"/>
    <n v="9"/>
    <s v="Navratri"/>
    <s v="Promoted"/>
    <s v="Known Employee"/>
    <n v="6"/>
    <x v="8"/>
  </r>
  <r>
    <s v="TRN-9016"/>
    <s v="CUST-1131"/>
    <s v="STO-02"/>
    <s v="EMP-0201"/>
    <s v="PROMO-00"/>
    <s v="Credit Card"/>
    <n v="556"/>
    <s v="2024-09-07"/>
    <n v="9"/>
    <s v="Navratri"/>
    <s v="Promoted"/>
    <s v="Known Employee"/>
    <n v="7"/>
    <x v="8"/>
  </r>
  <r>
    <s v="TRN-9259"/>
    <s v="CUST-1040"/>
    <s v="STO-02"/>
    <s v="EMP-0202"/>
    <s v="PROMO-00"/>
    <s v="Cash"/>
    <n v="174"/>
    <s v="2024-09-08"/>
    <n v="9"/>
    <s v="Navratri"/>
    <s v="Promoted"/>
    <s v="Known Employee"/>
    <n v="5"/>
    <x v="8"/>
  </r>
  <r>
    <s v="TRN-9651"/>
    <s v="CUST-1182"/>
    <s v="STO-02"/>
    <s v="Unknown"/>
    <s v="PROMO-00"/>
    <s v="Unknown"/>
    <n v="340"/>
    <s v="2024-09-08"/>
    <n v="9"/>
    <s v="Navratri"/>
    <s v="Promoted"/>
    <s v="UnKnown Employee"/>
    <n v="4"/>
    <x v="8"/>
  </r>
  <r>
    <s v="TRN-9091"/>
    <s v="CUST-1038"/>
    <s v="STO-03"/>
    <s v="EMP-0305"/>
    <s v="PROMO-00"/>
    <s v="Mobile Payment"/>
    <n v="444"/>
    <s v="2024-09-09"/>
    <n v="9"/>
    <s v="Navratri"/>
    <s v="Promoted"/>
    <s v="Known Employee"/>
    <n v="4"/>
    <x v="8"/>
  </r>
  <r>
    <s v="TRN-9890"/>
    <s v="CUST-1157"/>
    <s v="STO-04"/>
    <s v="EMP-0402"/>
    <s v="PROMO-00"/>
    <s v="Cash"/>
    <n v="565"/>
    <s v="2024-09-10"/>
    <n v="9"/>
    <s v="Navratri"/>
    <s v="Promoted"/>
    <s v="Known Employee"/>
    <n v="6"/>
    <x v="8"/>
  </r>
  <r>
    <s v="TRN-9089"/>
    <s v="CUST-1017"/>
    <s v="STO-01"/>
    <s v="EMP-0101"/>
    <s v="PROMO-00"/>
    <s v="Debit Card"/>
    <n v="395"/>
    <s v="2024-09-11"/>
    <n v="9"/>
    <s v="Navratri"/>
    <s v="Promoted"/>
    <s v="Known Employee"/>
    <n v="6"/>
    <x v="8"/>
  </r>
  <r>
    <s v="TRN-9816"/>
    <s v="CUST-1010"/>
    <s v="STO-02"/>
    <s v="EMP-0204"/>
    <s v="PROMO-00"/>
    <s v="Debit Card"/>
    <n v="425"/>
    <s v="2024-09-14"/>
    <n v="9"/>
    <s v="Navratri"/>
    <s v="Promoted"/>
    <s v="Known Employee"/>
    <n v="4"/>
    <x v="8"/>
  </r>
  <r>
    <s v="TRN-9676"/>
    <s v="CUST-1111"/>
    <s v="STO-04"/>
    <s v="EMP-0404"/>
    <s v="PROMO-00"/>
    <s v="Mobile Payment"/>
    <n v="614"/>
    <s v="2024-09-16"/>
    <n v="9"/>
    <s v="Navratri"/>
    <s v="Promoted"/>
    <s v="Known Employee"/>
    <n v="5"/>
    <x v="8"/>
  </r>
  <r>
    <s v="TRN-9920"/>
    <s v="CUST-1141"/>
    <s v=" STO-01 "/>
    <s v="EMP-0102"/>
    <s v="PROMO-00"/>
    <s v="Mobile Payment"/>
    <n v="160"/>
    <s v="2024-09-18"/>
    <n v="9"/>
    <s v="Navratri"/>
    <s v="Promoted"/>
    <s v="Known Employee"/>
    <n v="4"/>
    <x v="8"/>
  </r>
  <r>
    <s v="TRN-9813"/>
    <s v=" CUST-1077 "/>
    <s v="STO-03"/>
    <s v="EMP-0303"/>
    <s v="PROMO-00"/>
    <s v="Mobile Payment"/>
    <n v="279"/>
    <s v="2024-09-19"/>
    <n v="9"/>
    <s v="Navratri"/>
    <s v="Promoted"/>
    <s v="Known Employee"/>
    <n v="1"/>
    <x v="8"/>
  </r>
  <r>
    <s v="TRN-9196"/>
    <s v="CUST-1109"/>
    <s v="STO-03"/>
    <s v="EMP-0304"/>
    <s v="PROMO-02"/>
    <s v="Cash"/>
    <n v="320.39999999999998"/>
    <s v="2024-09-19"/>
    <n v="9"/>
    <s v="Navratri"/>
    <s v="Promoted"/>
    <s v="Known Employee"/>
    <n v="5"/>
    <x v="8"/>
  </r>
  <r>
    <s v="TRN-9418"/>
    <s v="CUST-1111"/>
    <s v="STO-04"/>
    <s v="EMP-0403"/>
    <s v="PROMO-00"/>
    <s v="Mobile Payment"/>
    <n v="420"/>
    <s v="2024-09-19"/>
    <n v="9"/>
    <s v="Navratri"/>
    <s v="Promoted"/>
    <s v="Known Employee"/>
    <n v="5"/>
    <x v="8"/>
  </r>
  <r>
    <s v="TRN-9536"/>
    <s v="CUST-1182"/>
    <s v="STO-03"/>
    <s v="EMP-0305"/>
    <s v="PROMO-00"/>
    <s v="Credit Card"/>
    <n v="150"/>
    <s v="2024-09-19"/>
    <n v="9"/>
    <s v="Navratri"/>
    <s v="Promoted"/>
    <s v="Known Employee"/>
    <n v="4"/>
    <x v="8"/>
  </r>
  <r>
    <s v="TRN-9232"/>
    <s v="CUST-1058"/>
    <s v=" STO-02 "/>
    <s v="EMP-0201"/>
    <s v="PROMO-00"/>
    <s v="Cash"/>
    <n v="295"/>
    <s v="2024-09-20"/>
    <n v="9"/>
    <s v="Navratri"/>
    <s v="Promoted"/>
    <s v="Known Employee"/>
    <n v="7"/>
    <x v="8"/>
  </r>
  <r>
    <s v="TRN-9680"/>
    <s v="CUST-1041"/>
    <s v="STO-03"/>
    <s v="EMP-0304"/>
    <s v="PROMO-00"/>
    <s v="Cash"/>
    <n v="314"/>
    <s v="2024-09-21"/>
    <n v="9"/>
    <s v="Navratri"/>
    <s v="Promoted"/>
    <s v="Known Employee"/>
    <n v="2"/>
    <x v="8"/>
  </r>
  <r>
    <s v="TRN-9942"/>
    <s v="CUST-1048"/>
    <s v="STO-04"/>
    <s v="EMP-0403"/>
    <s v="PROMO-00"/>
    <s v="Credit Card"/>
    <n v="569"/>
    <s v="2024-09-21"/>
    <n v="9"/>
    <s v="Navratri"/>
    <s v="Promoted"/>
    <s v="Known Employee"/>
    <n v="8"/>
    <x v="8"/>
  </r>
  <r>
    <s v="TRN-9228"/>
    <s v="CUST-1155"/>
    <s v="STO-02"/>
    <s v="Unknown"/>
    <s v="PROMO-00"/>
    <s v="Mobile Payment"/>
    <n v="375"/>
    <s v="2024-09-21"/>
    <n v="9"/>
    <s v="Navratri"/>
    <s v="Promoted"/>
    <s v="UnKnown Employee"/>
    <n v="3"/>
    <x v="8"/>
  </r>
  <r>
    <s v="TRN-9174"/>
    <s v="CUST-1182"/>
    <s v="STO-03"/>
    <s v="EMP-0305"/>
    <s v="PROMO-00"/>
    <s v="Mobile Payment"/>
    <n v="95"/>
    <s v="2024-09-21"/>
    <n v="9"/>
    <s v="Navratri"/>
    <s v="Promoted"/>
    <s v="Known Employee"/>
    <n v="4"/>
    <x v="8"/>
  </r>
  <r>
    <s v="TRN-9670"/>
    <s v="CUST-1043"/>
    <s v="STO-02"/>
    <s v="EMP-0205"/>
    <s v="PROMO-00"/>
    <s v=" Credit Card "/>
    <n v="210"/>
    <s v="2024-09-23"/>
    <n v="9"/>
    <s v="Navratri"/>
    <s v="Promoted"/>
    <s v="Known Employee"/>
    <n v="2"/>
    <x v="8"/>
  </r>
  <r>
    <s v=" TRN-9818 "/>
    <s v="CUST-1090"/>
    <s v="STO-04"/>
    <s v="EMP-0402"/>
    <s v="PROMO-02"/>
    <s v="Mobile Payment"/>
    <n v="387"/>
    <s v="2024-09-24"/>
    <n v="9"/>
    <s v="Navratri"/>
    <s v="Promoted"/>
    <s v="Known Employee"/>
    <n v="5"/>
    <x v="8"/>
  </r>
  <r>
    <s v="TRN-9940"/>
    <s v="CUST-1100"/>
    <s v="STO-03"/>
    <s v="EMP-0301"/>
    <s v="PROMO-03"/>
    <s v="Cash"/>
    <n v="199.5"/>
    <s v="2024-09-26"/>
    <n v="9"/>
    <s v="Navratri"/>
    <s v="Promoted"/>
    <s v="Known Employee"/>
    <n v="4"/>
    <x v="8"/>
  </r>
  <r>
    <s v="TRN-9336"/>
    <s v="CUST-1178"/>
    <s v="STO-03"/>
    <s v="EMP-0302"/>
    <s v="PROMO-00"/>
    <s v="Debit Card"/>
    <n v="285"/>
    <s v="2024-09-27"/>
    <n v="9"/>
    <s v="Navratri"/>
    <s v="Promoted"/>
    <s v="Known Employee"/>
    <n v="7"/>
    <x v="8"/>
  </r>
  <r>
    <s v="TRN-9585"/>
    <s v="CUST-1100"/>
    <s v="STO-01"/>
    <s v="EMP-0102"/>
    <s v="PROMO-03"/>
    <s v="Credit Card"/>
    <n v="61.75"/>
    <s v="2024-09-29"/>
    <n v="9"/>
    <s v="Navratri"/>
    <s v="Promoted"/>
    <s v="Known Employee"/>
    <n v="4"/>
    <x v="8"/>
  </r>
  <r>
    <s v="TRN-9126"/>
    <s v="CUST-1193"/>
    <s v="STO-02"/>
    <s v="EMP-0201"/>
    <s v="PROMO-00"/>
    <s v="Debit Card"/>
    <n v="333"/>
    <s v="2024-09-30"/>
    <n v="9"/>
    <s v="Navratri"/>
    <s v="Promoted"/>
    <s v="Known Employee"/>
    <n v="5"/>
    <x v="8"/>
  </r>
  <r>
    <s v=" TRN-9266 "/>
    <s v="CUST-1129"/>
    <s v="STO-03"/>
    <s v="EMP-0304"/>
    <s v="PROMO-00"/>
    <s v="Cash"/>
    <n v="386"/>
    <s v="2024-10-07"/>
    <n v="10"/>
    <s v="Diwali"/>
    <s v="Promoted"/>
    <s v="Known Employee"/>
    <n v="4"/>
    <x v="9"/>
  </r>
  <r>
    <s v="TRN-9307"/>
    <s v="CUST-1160"/>
    <s v="STO-02"/>
    <s v="EMP-0203"/>
    <s v="PROMO-00"/>
    <s v="Unknown"/>
    <n v="410"/>
    <s v="2024-10-07"/>
    <n v="10"/>
    <s v="Diwali"/>
    <s v="Promoted"/>
    <s v="Known Employee"/>
    <n v="5"/>
    <x v="9"/>
  </r>
  <r>
    <s v="TRN-9278"/>
    <s v="CUST-1169"/>
    <s v="STO-02"/>
    <s v="EMP-0202"/>
    <s v="PROMO-00"/>
    <s v=" Cash "/>
    <n v="494"/>
    <s v="2024-10-07"/>
    <n v="10"/>
    <s v="Diwali"/>
    <s v="Promoted"/>
    <s v="Known Employee"/>
    <n v="1"/>
    <x v="9"/>
  </r>
  <r>
    <s v="TRN-9949"/>
    <s v="CUST-1027"/>
    <s v="STO-04"/>
    <s v="EMP-0403"/>
    <s v="PROMO-00"/>
    <s v="Mobile Payment"/>
    <n v="295"/>
    <s v="2024-10-11"/>
    <n v="10"/>
    <s v="Diwali"/>
    <s v="Promoted"/>
    <s v="Known Employee"/>
    <n v="5"/>
    <x v="9"/>
  </r>
  <r>
    <s v="TRN-9217"/>
    <s v="CUST-1121"/>
    <s v="STO-01"/>
    <s v="EMP-0102"/>
    <s v="PROMO-00"/>
    <s v="Credit Card"/>
    <n v="655"/>
    <s v="2024-10-13"/>
    <n v="10"/>
    <s v="Diwali"/>
    <s v="Promoted"/>
    <s v="Known Employee"/>
    <n v="3"/>
    <x v="9"/>
  </r>
  <r>
    <s v="TRN-9873"/>
    <s v="CUST-1175"/>
    <s v="STO-04"/>
    <s v="EMP-0404"/>
    <s v="PROMO-02"/>
    <s v="Debit Card"/>
    <n v="104.4"/>
    <s v="2024-10-16"/>
    <n v="10"/>
    <s v="Diwali"/>
    <s v="Promoted"/>
    <s v="Known Employee"/>
    <n v="5"/>
    <x v="9"/>
  </r>
  <r>
    <s v="TRN-9015"/>
    <s v="CUST-1026"/>
    <s v="STO-04"/>
    <s v="EMP-0404"/>
    <s v="PROMO-01"/>
    <s v="Mobile Payment"/>
    <n v="153"/>
    <s v="2024-10-17"/>
    <n v="10"/>
    <s v="Diwali"/>
    <s v="Promoted"/>
    <s v="Known Employee"/>
    <n v="4"/>
    <x v="9"/>
  </r>
  <r>
    <s v="TRN-9429"/>
    <s v="CUST-1120"/>
    <s v="STO-01"/>
    <s v="EMP-0101"/>
    <s v="PROMO-00"/>
    <s v="Debit Card"/>
    <n v="496"/>
    <s v="2024-10-17"/>
    <n v="10"/>
    <s v="Diwali"/>
    <s v="Promoted"/>
    <s v="Known Employee"/>
    <n v="6"/>
    <x v="9"/>
  </r>
  <r>
    <s v="TRN-9628"/>
    <s v="CUST-1120"/>
    <s v="STO-03"/>
    <s v="EMP-0305"/>
    <s v="PROMO-00"/>
    <s v="Cash"/>
    <n v="346"/>
    <s v="2024-10-21"/>
    <n v="10"/>
    <s v="Diwali"/>
    <s v="Promoted"/>
    <s v="Known Employee"/>
    <n v="6"/>
    <x v="9"/>
  </r>
  <r>
    <s v="TRN-9822"/>
    <s v="CUST-1174"/>
    <s v="STO-02"/>
    <s v="EMP-0204"/>
    <s v="PROMO-00"/>
    <s v="Mobile Payment"/>
    <n v="120"/>
    <s v="2024-10-23"/>
    <n v="10"/>
    <s v="Diwali"/>
    <s v="Promoted"/>
    <s v="Known Employee"/>
    <n v="4"/>
    <x v="9"/>
  </r>
  <r>
    <s v="TRN-9783"/>
    <s v="CUST-1008"/>
    <s v="STO-02"/>
    <s v="Unknown"/>
    <s v="PROMO-00"/>
    <s v="Cash"/>
    <n v="174"/>
    <s v="2024-10-25"/>
    <n v="10"/>
    <s v="Diwali"/>
    <s v="Promoted"/>
    <s v="UnKnown Employee"/>
    <n v="2"/>
    <x v="9"/>
  </r>
  <r>
    <s v="TRN-9773"/>
    <s v="CUST-1146"/>
    <s v=" STO-04 "/>
    <s v="EMP-0405"/>
    <s v="PROMO-00"/>
    <s v="Cash"/>
    <n v="685"/>
    <s v="2024-10-27"/>
    <n v="10"/>
    <s v="Diwali"/>
    <s v="Promoted"/>
    <s v="Known Employee"/>
    <n v="8"/>
    <x v="9"/>
  </r>
  <r>
    <s v="TRN-9414"/>
    <s v="CUST-1007"/>
    <s v="STO-01"/>
    <s v="EMP-0104"/>
    <s v="PROMO-00"/>
    <s v="Credit Card"/>
    <n v="240"/>
    <s v="2024-10-31"/>
    <n v="10"/>
    <s v="Diwali"/>
    <s v="Promoted"/>
    <s v="Known Employee"/>
    <n v="8"/>
    <x v="9"/>
  </r>
  <r>
    <s v="TRN-9518"/>
    <s v="CUST-1032"/>
    <s v="STO-02"/>
    <s v="EMP-0201"/>
    <s v="PROMO-02"/>
    <s v="Debit Card"/>
    <n v="553.5"/>
    <s v="2024-11-03"/>
    <n v="11"/>
    <s v="Diwali"/>
    <s v="Promoted"/>
    <s v="Known Employee"/>
    <n v="6"/>
    <x v="10"/>
  </r>
  <r>
    <s v="TRN-9077"/>
    <s v="CUST-1176"/>
    <s v="STO-02"/>
    <s v="EMP-0203"/>
    <s v="PROMO-00"/>
    <s v="Cash"/>
    <n v="180"/>
    <s v="2024-11-05"/>
    <n v="11"/>
    <s v="Diwali"/>
    <s v="Promoted"/>
    <s v="Known Employee"/>
    <n v="4"/>
    <x v="10"/>
  </r>
  <r>
    <s v="TRN-9481"/>
    <s v="CUST-1081"/>
    <s v="STO-01"/>
    <s v="EMP-0102"/>
    <s v="PROMO-00"/>
    <s v="Credit Card"/>
    <n v="326"/>
    <s v="2024-11-06"/>
    <n v="11"/>
    <s v="Diwali"/>
    <s v="Promoted"/>
    <s v="Known Employee"/>
    <n v="4"/>
    <x v="10"/>
  </r>
  <r>
    <s v="TRN-9655"/>
    <s v="CUST-1108"/>
    <s v="STO-04"/>
    <s v="EMP-0402"/>
    <s v="PROMO-00"/>
    <s v="Debit Card"/>
    <n v="100"/>
    <s v="2024-11-06"/>
    <n v="11"/>
    <s v="Diwali"/>
    <s v="Promoted"/>
    <s v="Known Employee"/>
    <n v="4"/>
    <x v="10"/>
  </r>
  <r>
    <s v="TRN-9402"/>
    <s v="CUST-1030"/>
    <s v="STO-01"/>
    <s v="EMP-0101"/>
    <s v="PROMO-02"/>
    <s v="Credit Card"/>
    <n v="54"/>
    <s v="2024-11-07"/>
    <n v="11"/>
    <s v="Diwali"/>
    <s v="Promoted"/>
    <s v="Known Employee"/>
    <n v="6"/>
    <x v="10"/>
  </r>
  <r>
    <s v="TRN-9098"/>
    <s v="CUST-1048"/>
    <s v="STO-02"/>
    <s v="EMP-0201"/>
    <s v="PROMO-00"/>
    <s v="Unknown"/>
    <n v="170"/>
    <s v="2024-11-09"/>
    <n v="11"/>
    <s v="Diwali"/>
    <s v="Promoted"/>
    <s v="Known Employee"/>
    <n v="8"/>
    <x v="10"/>
  </r>
  <r>
    <s v="TRN-9434"/>
    <s v="CUST-1159"/>
    <s v="STO-01"/>
    <s v=" EMP-0105 "/>
    <s v="PROMO-03"/>
    <s v="Mobile Payment"/>
    <n v="310.64999999999998"/>
    <s v="2024-11-09"/>
    <n v="11"/>
    <s v="Diwali"/>
    <s v="Promoted"/>
    <s v="Known Employee"/>
    <n v="6"/>
    <x v="10"/>
  </r>
  <r>
    <s v="TRN-9995"/>
    <s v="CUST-1062"/>
    <s v="STO-01"/>
    <s v="EMP-0101"/>
    <s v="PROMO-00"/>
    <s v="Credit Card"/>
    <n v="690"/>
    <s v="2024-11-10"/>
    <n v="11"/>
    <s v="Diwali"/>
    <s v="Promoted"/>
    <s v="Known Employee"/>
    <n v="3"/>
    <x v="10"/>
  </r>
  <r>
    <s v="TRN-9722"/>
    <s v="CUST-1143"/>
    <s v="STO-04"/>
    <s v="EMP-0403"/>
    <s v="PROMO-00"/>
    <s v="Debit Card"/>
    <n v="434"/>
    <s v="2024-11-10"/>
    <n v="11"/>
    <s v="Diwali"/>
    <s v="Promoted"/>
    <s v="Known Employee"/>
    <n v="3"/>
    <x v="10"/>
  </r>
  <r>
    <s v=" TRN-9900 "/>
    <s v="CUST-1070"/>
    <s v="STO-03"/>
    <s v="EMP-0304"/>
    <s v="No Promotion"/>
    <s v="Cash"/>
    <n v="360"/>
    <s v="2024-11-14"/>
    <n v="11"/>
    <s v="Diwali"/>
    <s v="Not Promoted"/>
    <s v="Known Employee"/>
    <n v="2"/>
    <x v="10"/>
  </r>
  <r>
    <s v="TRN-9171"/>
    <s v=" CUST-1055 "/>
    <s v="STO-04"/>
    <s v="EMP-0402"/>
    <s v="PROMO-00"/>
    <s v="Credit Card"/>
    <n v="274"/>
    <s v="2024-11-15"/>
    <n v="11"/>
    <s v="Diwali"/>
    <s v="Promoted"/>
    <s v="Known Employee"/>
    <n v="2"/>
    <x v="10"/>
  </r>
  <r>
    <s v="TRN-9582"/>
    <s v=" CUST-1050 "/>
    <s v="STO-03"/>
    <s v=" EMP-0305 "/>
    <s v="PROMO-00"/>
    <s v="Credit Card"/>
    <n v="240"/>
    <s v="2024-11-16"/>
    <n v="11"/>
    <s v="Diwali"/>
    <s v="Promoted"/>
    <s v="Known Employee"/>
    <n v="2"/>
    <x v="10"/>
  </r>
  <r>
    <s v="TRN-9382"/>
    <s v="CUST-1180"/>
    <s v="STO-03"/>
    <s v="EMP-0304"/>
    <s v="PROMO-03"/>
    <s v="Debit Card"/>
    <n v="368.6"/>
    <s v="2024-11-16"/>
    <n v="11"/>
    <s v="Diwali"/>
    <s v="Promoted"/>
    <s v="Known Employee"/>
    <n v="4"/>
    <x v="10"/>
  </r>
  <r>
    <s v="TRN-9796"/>
    <s v="CUST-1192"/>
    <s v="STO-02"/>
    <s v="EMP-0201"/>
    <s v="PROMO-00"/>
    <s v="Unknown"/>
    <n v="800"/>
    <s v="2024-11-18"/>
    <n v="11"/>
    <s v="Diwali"/>
    <s v="Promoted"/>
    <s v="Known Employee"/>
    <n v="5"/>
    <x v="10"/>
  </r>
  <r>
    <s v="TRN-9746"/>
    <s v="CUST-1166"/>
    <s v="STO-04"/>
    <s v="EMP-0402"/>
    <s v="PROMO-00"/>
    <s v="Mobile Payment"/>
    <n v="340"/>
    <s v="2024-11-19"/>
    <n v="11"/>
    <s v="Diwali"/>
    <s v="Promoted"/>
    <s v="Known Employee"/>
    <n v="5"/>
    <x v="10"/>
  </r>
  <r>
    <s v="TRN-9601"/>
    <s v="CUST-1071"/>
    <s v="STO-02"/>
    <s v="EMP-0201"/>
    <s v="PROMO-00"/>
    <s v="Mobile Payment"/>
    <n v="85"/>
    <s v="2024-11-20"/>
    <n v="11"/>
    <s v="Diwali"/>
    <s v="Promoted"/>
    <s v="Known Employee"/>
    <n v="4"/>
    <x v="10"/>
  </r>
  <r>
    <s v="TRN-9884"/>
    <s v="CUST-1048"/>
    <s v="STO-04"/>
    <s v="EMP-0403"/>
    <s v="PROMO-00"/>
    <s v=" Mobile Payment "/>
    <n v="160"/>
    <s v="2024-11-21"/>
    <n v="11"/>
    <s v="Diwali"/>
    <s v="Promoted"/>
    <s v="Known Employee"/>
    <n v="8"/>
    <x v="10"/>
  </r>
  <r>
    <s v="TRN-9195"/>
    <s v="CUST-1106"/>
    <s v="STO-02"/>
    <s v=" EMP-0205 "/>
    <s v="PROMO-00"/>
    <s v="Unknown"/>
    <n v="335"/>
    <s v="2024-11-21"/>
    <n v="11"/>
    <s v="Diwali"/>
    <s v="Promoted"/>
    <s v="Known Employee"/>
    <n v="1"/>
    <x v="10"/>
  </r>
  <r>
    <s v="TRN-9352"/>
    <s v="CUST-1118"/>
    <s v="STO-04"/>
    <s v="EMP-0402"/>
    <s v="PROMO-00"/>
    <s v="Mobile Payment"/>
    <n v="315"/>
    <s v="2024-11-22"/>
    <n v="11"/>
    <s v="Diwali"/>
    <s v="Promoted"/>
    <s v="Known Employee"/>
    <n v="4"/>
    <x v="10"/>
  </r>
  <r>
    <s v="TRN-9142"/>
    <s v="CUST-1027"/>
    <s v="STO-04"/>
    <s v="EMP-0405"/>
    <s v="PROMO-01"/>
    <s v="Mobile Payment"/>
    <n v="85"/>
    <s v="2024-11-23"/>
    <n v="11"/>
    <s v="Diwali"/>
    <s v="Promoted"/>
    <s v="Known Employee"/>
    <n v="5"/>
    <x v="10"/>
  </r>
  <r>
    <s v="TRN-9522"/>
    <s v="CUST-1149"/>
    <s v="STO-03"/>
    <s v="EMP-0305"/>
    <s v="PROMO-00"/>
    <s v="Mobile Payment"/>
    <n v="130"/>
    <s v="2024-11-25"/>
    <n v="11"/>
    <s v="Diwali"/>
    <s v="Promoted"/>
    <s v="Known Employee"/>
    <n v="4"/>
    <x v="10"/>
  </r>
  <r>
    <s v="TRN-9161"/>
    <s v="CUST-1200"/>
    <s v=" STO-01 "/>
    <s v="EMP-0102"/>
    <s v=" PROMO-03 "/>
    <s v="Mobile Payment"/>
    <n v="154.85"/>
    <s v="2024-11-27"/>
    <n v="11"/>
    <s v="Diwali"/>
    <s v="Promoted"/>
    <s v="Known Employee"/>
    <n v="6"/>
    <x v="10"/>
  </r>
  <r>
    <s v="TRN-9313"/>
    <s v="CUST-1193"/>
    <s v="STO-04"/>
    <s v="EMP-0404"/>
    <s v="PROMO-00"/>
    <s v="Debit Card"/>
    <n v="395"/>
    <s v="2024-11-28"/>
    <n v="11"/>
    <s v="Diwali"/>
    <s v="Promoted"/>
    <s v="Known Employee"/>
    <n v="5"/>
    <x v="10"/>
  </r>
  <r>
    <s v="TRN-9431"/>
    <s v="CUST-1032"/>
    <s v="STO-03"/>
    <s v="EMP-0302"/>
    <s v="PROMO-00"/>
    <s v="Credit Card"/>
    <n v="535"/>
    <s v="2024-12-03"/>
    <n v="12"/>
    <s v="Regular"/>
    <s v="Promoted"/>
    <s v="Known Employee"/>
    <n v="6"/>
    <x v="11"/>
  </r>
  <r>
    <s v="TRN-9265"/>
    <s v="CUST-1058"/>
    <s v="STO-02"/>
    <s v="EMP-0201"/>
    <s v="No Promotion"/>
    <s v="Unknown"/>
    <n v="202.5"/>
    <s v="2024-12-06"/>
    <n v="12"/>
    <s v="Regular"/>
    <s v="Not Promoted"/>
    <s v="Known Employee"/>
    <n v="7"/>
    <x v="11"/>
  </r>
  <r>
    <s v="TRN-9444"/>
    <s v="CUST-1094"/>
    <s v="STO-02"/>
    <s v="EMP-0205"/>
    <s v="PROMO-02"/>
    <s v="Cash"/>
    <n v="405"/>
    <s v="2024-12-06"/>
    <n v="12"/>
    <s v="Regular"/>
    <s v="Promoted"/>
    <s v="Known Employee"/>
    <n v="5"/>
    <x v="11"/>
  </r>
  <r>
    <s v="TRN-9078"/>
    <s v="CUST-1126"/>
    <s v="STO-02"/>
    <s v="EMP-0203"/>
    <s v="PROMO-00"/>
    <s v="Cash"/>
    <n v="465"/>
    <s v="2024-12-07"/>
    <n v="12"/>
    <s v="Regular"/>
    <s v="Promoted"/>
    <s v="Known Employee"/>
    <n v="3"/>
    <x v="11"/>
  </r>
  <r>
    <s v="TRN-9150"/>
    <s v="CUST-1072"/>
    <s v="STO-03"/>
    <s v="EMP-0302"/>
    <s v="PROMO-02"/>
    <s v="Mobile Payment"/>
    <n v="228.6"/>
    <s v="2024-12-08"/>
    <n v="12"/>
    <s v="Regular"/>
    <s v="Promoted"/>
    <s v="Known Employee"/>
    <n v="3"/>
    <x v="11"/>
  </r>
  <r>
    <s v="TRN-9180"/>
    <s v="CUST-1190"/>
    <s v="STO-04"/>
    <s v="EMP-0402"/>
    <s v="PROMO-00"/>
    <s v="Debit Card"/>
    <n v="330"/>
    <s v="2024-12-10"/>
    <n v="12"/>
    <s v="Regular"/>
    <s v="Promoted"/>
    <s v="Known Employee"/>
    <n v="6"/>
    <x v="11"/>
  </r>
  <r>
    <s v="TRN-9690"/>
    <s v="CUST-1196"/>
    <s v="STO-03"/>
    <s v="EMP-0305"/>
    <s v="No Promotion"/>
    <s v="Debit Card"/>
    <n v="120"/>
    <s v="2024-12-13"/>
    <n v="12"/>
    <s v="Regular"/>
    <s v="Not Promoted"/>
    <s v="Known Employee"/>
    <n v="5"/>
    <x v="11"/>
  </r>
  <r>
    <s v="TRN-9605"/>
    <s v="CUST-1098"/>
    <s v="STO-03"/>
    <s v="EMP-0303"/>
    <s v="PROMO-01"/>
    <s v="Cash"/>
    <n v="323"/>
    <s v="2024-12-17"/>
    <n v="12"/>
    <s v="Regular"/>
    <s v="Promoted"/>
    <s v="Known Employee"/>
    <n v="4"/>
    <x v="11"/>
  </r>
  <r>
    <s v="TRN-9309"/>
    <s v="CUST-1045"/>
    <s v="STO-03"/>
    <s v="EMP-0305"/>
    <s v="PROMO-00"/>
    <s v="Debit Card"/>
    <n v="424"/>
    <s v="2024-12-18"/>
    <n v="12"/>
    <s v="Regular"/>
    <s v="Promoted"/>
    <s v="Known Employee"/>
    <n v="2"/>
    <x v="11"/>
  </r>
  <r>
    <s v="TRN-9392"/>
    <s v="CUST-1034"/>
    <s v="STO-02"/>
    <s v="EMP-0204"/>
    <s v="PROMO-00"/>
    <s v="Unknown"/>
    <n v="356"/>
    <s v="2024-12-25"/>
    <n v="12"/>
    <s v="Regular"/>
    <s v="Promoted"/>
    <s v="Known Employee"/>
    <n v="3"/>
    <x v="11"/>
  </r>
  <r>
    <s v="TRN-9596"/>
    <s v="CUST-1088"/>
    <s v="STO-02"/>
    <s v="EMP-0201"/>
    <s v="No Promotion"/>
    <s v="Cash"/>
    <n v="165.3"/>
    <s v="2024-12-25"/>
    <n v="12"/>
    <s v="Regular"/>
    <s v="Not Promoted"/>
    <s v="Known Employee"/>
    <n v="3"/>
    <x v="11"/>
  </r>
  <r>
    <s v="TRN-9701"/>
    <s v="CUST-1183"/>
    <s v="STO-01"/>
    <s v=" EMP-0101 "/>
    <s v="PROMO-00"/>
    <s v="Mobile Payment"/>
    <n v="545"/>
    <s v="2024-12-25"/>
    <n v="12"/>
    <s v="Regular"/>
    <s v="Promoted"/>
    <s v="Known Employee"/>
    <n v="3"/>
    <x v="11"/>
  </r>
  <r>
    <s v="TRN-9157"/>
    <s v="CUST-1027"/>
    <s v="STO-01"/>
    <s v="EMP-0101"/>
    <s v="PROMO-00"/>
    <s v="Credit Card"/>
    <n v="180"/>
    <s v="2024-12-29"/>
    <n v="12"/>
    <s v="Regular"/>
    <s v="Promoted"/>
    <s v="Known Employee"/>
    <n v="5"/>
    <x v="11"/>
  </r>
  <r>
    <s v="TRN-9134"/>
    <s v=" CUST-1017 "/>
    <s v="STO-04"/>
    <s v=" EMP-0405 "/>
    <s v="PROMO-01"/>
    <s v="Debit Card"/>
    <n v="199.75"/>
    <s v="2025-01-01"/>
    <n v="1"/>
    <s v="Makar Sankranti"/>
    <s v="Promoted"/>
    <s v="Known Employee"/>
    <n v="1"/>
    <x v="0"/>
  </r>
  <r>
    <s v="TRN-9718"/>
    <s v="CUST-1152"/>
    <s v="STO-03"/>
    <s v="EMP-0304"/>
    <s v="PROMO-00"/>
    <s v="Credit Card"/>
    <n v="150"/>
    <s v="2025-01-03"/>
    <n v="1"/>
    <s v="Makar Sankranti"/>
    <s v="Promoted"/>
    <s v="Known Employee"/>
    <n v="5"/>
    <x v="0"/>
  </r>
  <r>
    <s v="TRN-9058"/>
    <s v="CUST-1008"/>
    <s v="STO-03"/>
    <s v="EMP-0304"/>
    <s v="PROMO-00"/>
    <s v="Cash"/>
    <n v="465"/>
    <s v="2025-01-04"/>
    <n v="1"/>
    <s v="Makar Sankranti"/>
    <s v="Promoted"/>
    <s v="Known Employee"/>
    <n v="2"/>
    <x v="0"/>
  </r>
  <r>
    <s v="TRN-9863"/>
    <s v="CUST-1128"/>
    <s v="STO-03"/>
    <s v="EMP-0302"/>
    <s v="PROMO-01"/>
    <s v="Mobile Payment"/>
    <n v="208.25"/>
    <s v="2025-01-04"/>
    <n v="1"/>
    <s v="Makar Sankranti"/>
    <s v="Promoted"/>
    <s v="Known Employee"/>
    <n v="6"/>
    <x v="0"/>
  </r>
  <r>
    <s v="TRN-9137"/>
    <s v="CUST-1175"/>
    <s v="STO-02"/>
    <s v="EMP-0203"/>
    <s v="PROMO-00"/>
    <s v="Credit Card"/>
    <n v="60"/>
    <s v="2025-01-04"/>
    <n v="1"/>
    <s v="Makar Sankranti"/>
    <s v="Promoted"/>
    <s v="Known Employee"/>
    <n v="5"/>
    <x v="0"/>
  </r>
  <r>
    <s v="TRN-9331"/>
    <s v="CUST-1192"/>
    <s v="STO-04"/>
    <s v="EMP-0402"/>
    <s v="PROMO-01"/>
    <s v="Credit Card"/>
    <n v="115.6"/>
    <s v="2025-01-05"/>
    <n v="1"/>
    <s v="Makar Sankranti"/>
    <s v="Promoted"/>
    <s v="Known Employee"/>
    <n v="5"/>
    <x v="0"/>
  </r>
  <r>
    <s v="TRN-9412"/>
    <s v=" CUST-1093 "/>
    <s v=" STO-03 "/>
    <s v="EMP-0303"/>
    <s v="PROMO-00"/>
    <s v="Mobile Payment"/>
    <n v="113"/>
    <s v="2025-01-09"/>
    <n v="1"/>
    <s v="Makar Sankranti"/>
    <s v="Promoted"/>
    <s v="Known Employee"/>
    <n v="1"/>
    <x v="0"/>
  </r>
  <r>
    <s v="TRN-9435"/>
    <s v="CUST-1157"/>
    <s v="STO-02"/>
    <s v="EMP-0202"/>
    <s v="PROMO-00"/>
    <s v="Debit Card"/>
    <n v="661"/>
    <s v="2025-01-10"/>
    <n v="1"/>
    <s v="Makar Sankranti"/>
    <s v="Promoted"/>
    <s v="Known Employee"/>
    <n v="6"/>
    <x v="0"/>
  </r>
  <r>
    <s v=" TRN-9032 "/>
    <s v="CUST-1024"/>
    <s v="STO-04"/>
    <s v="EMP-0401"/>
    <s v="No Promotion"/>
    <s v="Credit Card"/>
    <n v="355"/>
    <s v="2025-01-13"/>
    <n v="1"/>
    <s v="Makar Sankranti"/>
    <s v="Not Promoted"/>
    <s v="Known Employee"/>
    <n v="4"/>
    <x v="0"/>
  </r>
  <r>
    <s v="TRN-9529"/>
    <s v="CUST-1025"/>
    <s v="STO-02"/>
    <s v="EMP-0202"/>
    <s v="PROMO-00"/>
    <s v="Unknown"/>
    <n v="115"/>
    <s v="2025-01-16"/>
    <n v="1"/>
    <s v="Makar Sankranti"/>
    <s v="Promoted"/>
    <s v="Known Employee"/>
    <n v="5"/>
    <x v="0"/>
  </r>
  <r>
    <s v=" TRN-9752 "/>
    <s v="CUST-1043"/>
    <s v="STO-01"/>
    <s v="EMP-0105"/>
    <s v="PROMO-00"/>
    <s v="Debit Card"/>
    <n v="381"/>
    <s v="2025-01-16"/>
    <n v="1"/>
    <s v="Makar Sankranti"/>
    <s v="Promoted"/>
    <s v="Known Employee"/>
    <n v="2"/>
    <x v="0"/>
  </r>
  <r>
    <s v="TRN-9849"/>
    <s v="CUST-1038"/>
    <s v="STO-01"/>
    <s v="EMP-0103"/>
    <s v="PROMO-01"/>
    <s v="Debit Card"/>
    <n v="97.75"/>
    <s v="2025-01-19"/>
    <n v="1"/>
    <s v="Makar Sankranti"/>
    <s v="Promoted"/>
    <s v="Known Employee"/>
    <n v="4"/>
    <x v="0"/>
  </r>
  <r>
    <s v="TRN-9500"/>
    <s v="CUST-1098"/>
    <s v="STO-04"/>
    <s v="EMP-0401"/>
    <s v="PROMO-01"/>
    <s v="Mobile Payment"/>
    <n v="98.6"/>
    <s v="2025-01-22"/>
    <n v="1"/>
    <s v="Makar Sankranti"/>
    <s v="Promoted"/>
    <s v="Known Employee"/>
    <n v="4"/>
    <x v="0"/>
  </r>
  <r>
    <s v="TRN-9214"/>
    <s v="CUST-1001"/>
    <s v="STO-01"/>
    <s v="EMP-0105"/>
    <s v="PROMO-00"/>
    <s v="Debit Card"/>
    <n v="408"/>
    <s v="2025-01-23"/>
    <n v="1"/>
    <s v="Makar Sankranti"/>
    <s v="Promoted"/>
    <s v="Known Employee"/>
    <n v="5"/>
    <x v="0"/>
  </r>
  <r>
    <s v="TRN-9575"/>
    <s v="CUST-1029"/>
    <s v="STO-02"/>
    <s v=" EMP-0202 "/>
    <s v="PROMO-00"/>
    <s v="Debit Card"/>
    <n v="585"/>
    <s v="2025-01-23"/>
    <n v="1"/>
    <s v="Makar Sankranti"/>
    <s v="Promoted"/>
    <s v="Known Employee"/>
    <n v="4"/>
    <x v="0"/>
  </r>
  <r>
    <s v="TRN-9806"/>
    <s v="CUST-1118"/>
    <s v="STO-03"/>
    <s v="EMP-0303"/>
    <s v="PROMO-00"/>
    <s v="Debit Card"/>
    <n v="324"/>
    <s v="2025-01-25"/>
    <n v="1"/>
    <s v="Makar Sankranti"/>
    <s v="Promoted"/>
    <s v="Known Employee"/>
    <n v="4"/>
    <x v="0"/>
  </r>
  <r>
    <s v="TRN-9648"/>
    <s v="CUST-1045"/>
    <s v="STO-01"/>
    <s v="EMP-0102"/>
    <s v="PROMO-00"/>
    <s v="Credit Card"/>
    <n v="596"/>
    <s v="2025-01-30"/>
    <n v="1"/>
    <s v="Makar Sankranti"/>
    <s v="Promoted"/>
    <s v="Known Employee"/>
    <n v="2"/>
    <x v="0"/>
  </r>
  <r>
    <s v="TRN-9584"/>
    <s v="CUST-1166"/>
    <s v="STO-02"/>
    <s v="EMP-0204"/>
    <s v="PROMO-02"/>
    <s v="Mobile Payment"/>
    <n v="228.6"/>
    <s v="2025-01-31"/>
    <n v="1"/>
    <s v="Makar Sankranti"/>
    <s v="Promoted"/>
    <s v="Known Employee"/>
    <n v="5"/>
    <x v="0"/>
  </r>
  <r>
    <s v="TRN-9950"/>
    <s v="CUST-1138"/>
    <s v="STO-01"/>
    <s v="EMP-0102"/>
    <s v="PROMO-00"/>
    <s v="Debit Card"/>
    <n v="205"/>
    <s v="2025-02-02"/>
    <n v="2"/>
    <s v="Regular"/>
    <s v="Promoted"/>
    <s v="Known Employee"/>
    <n v="5"/>
    <x v="1"/>
  </r>
  <r>
    <s v="TRN-9052"/>
    <s v="CUST-1074"/>
    <s v="STO-02"/>
    <s v="EMP-0205"/>
    <s v="PROMO-00"/>
    <s v="Credit Card"/>
    <n v="210"/>
    <s v="2025-02-03"/>
    <n v="2"/>
    <s v="Regular"/>
    <s v="Promoted"/>
    <s v="Known Employee"/>
    <n v="6"/>
    <x v="1"/>
  </r>
  <r>
    <s v="TRN-9844"/>
    <s v="CUST-1010"/>
    <s v="STO-04"/>
    <s v="EMP-0405"/>
    <s v="PROMO-00"/>
    <s v="Debit Card"/>
    <n v="116"/>
    <s v="2025-02-05"/>
    <n v="2"/>
    <s v="Regular"/>
    <s v="Promoted"/>
    <s v="Known Employee"/>
    <n v="4"/>
    <x v="1"/>
  </r>
  <r>
    <s v="TRN-9660"/>
    <s v="CUST-1178"/>
    <s v="STO-02"/>
    <s v=" EMP-0201 "/>
    <s v=" PROMO-00 "/>
    <s v="Debit Card"/>
    <n v="569"/>
    <s v="2025-02-08"/>
    <n v="2"/>
    <s v="Regular"/>
    <s v="Promoted"/>
    <s v="Known Employee"/>
    <n v="7"/>
    <x v="1"/>
  </r>
  <r>
    <s v="TRN-9637"/>
    <s v="CUST-1118"/>
    <s v="STO-02"/>
    <s v="EMP-0202"/>
    <s v="PROMO-00"/>
    <s v="Debit Card"/>
    <n v="236"/>
    <s v="2025-02-10"/>
    <n v="2"/>
    <s v="Regular"/>
    <s v="Promoted"/>
    <s v="Known Employee"/>
    <n v="4"/>
    <x v="1"/>
  </r>
  <r>
    <s v="TRN-9446"/>
    <s v="CUST-1171"/>
    <s v="STO-02"/>
    <s v="EMP-0204"/>
    <s v="No Promotion"/>
    <s v="Unknown"/>
    <n v="455"/>
    <s v="2025-02-13"/>
    <n v="2"/>
    <s v="Regular"/>
    <s v="Not Promoted"/>
    <s v="Known Employee"/>
    <n v="5"/>
    <x v="1"/>
  </r>
  <r>
    <s v="TRN-9410"/>
    <s v="CUST-1096"/>
    <s v="STO-03"/>
    <s v="EMP-0302"/>
    <s v="PROMO-00"/>
    <s v="Cash"/>
    <n v="186"/>
    <s v="2025-02-14"/>
    <n v="2"/>
    <s v="Regular"/>
    <s v="Promoted"/>
    <s v="Known Employee"/>
    <n v="5"/>
    <x v="1"/>
  </r>
  <r>
    <s v="TRN-9956"/>
    <s v="CUST-1141"/>
    <s v="STO-03"/>
    <s v="EMP-0302"/>
    <s v="PROMO-00"/>
    <s v="Unknown"/>
    <n v="285"/>
    <s v="2025-02-16"/>
    <n v="2"/>
    <s v="Regular"/>
    <s v="Promoted"/>
    <s v="Known Employee"/>
    <n v="4"/>
    <x v="1"/>
  </r>
  <r>
    <s v="TRN-9504"/>
    <s v="CUST-1172"/>
    <s v="STO-03"/>
    <s v="EMP-0303"/>
    <s v="PROMO-00"/>
    <s v="Credit Card"/>
    <n v="390"/>
    <s v="2025-02-23"/>
    <n v="2"/>
    <s v="Regular"/>
    <s v="Promoted"/>
    <s v="Known Employee"/>
    <n v="4"/>
    <x v="1"/>
  </r>
  <r>
    <s v="TRN-9980"/>
    <s v="CUST-1128"/>
    <s v="STO-04"/>
    <s v="EMP-0405"/>
    <s v="PROMO-00"/>
    <s v="Debit Card"/>
    <n v="300"/>
    <s v="2025-02-25"/>
    <n v="2"/>
    <s v="Regular"/>
    <s v="Promoted"/>
    <s v="Known Employee"/>
    <n v="6"/>
    <x v="1"/>
  </r>
  <r>
    <s v="TRN-9763"/>
    <s v="CUST-1050"/>
    <s v="STO-01"/>
    <s v="EMP-0105"/>
    <s v="PROMO-00"/>
    <s v="Credit Card"/>
    <n v="70"/>
    <s v="2025-02-26"/>
    <n v="2"/>
    <s v="Regular"/>
    <s v="Promoted"/>
    <s v="Known Employee"/>
    <n v="6"/>
    <x v="1"/>
  </r>
  <r>
    <s v="TRN-9010"/>
    <s v="CUST-1147"/>
    <s v="STO-04"/>
    <s v="EMP-0405"/>
    <s v="PROMO-00"/>
    <s v="Cash"/>
    <n v="235"/>
    <s v="2025-02-27"/>
    <n v="2"/>
    <s v="Regular"/>
    <s v="Promoted"/>
    <s v="Known Employee"/>
    <n v="8"/>
    <x v="1"/>
  </r>
  <r>
    <s v="TRN-9022"/>
    <s v="CUST-1111"/>
    <s v="STO-04"/>
    <s v="EMP-0405"/>
    <s v="PROMO-02"/>
    <s v="Credit Card"/>
    <n v="49.5"/>
    <s v="2025-03-04"/>
    <n v="3"/>
    <s v="Holi"/>
    <s v="Promoted"/>
    <s v="Known Employee"/>
    <n v="5"/>
    <x v="2"/>
  </r>
  <r>
    <s v="TRN-9913"/>
    <s v="CUST-1191"/>
    <s v="STO-03"/>
    <s v="EMP-0304"/>
    <s v="PROMO-01"/>
    <s v="Debit Card"/>
    <n v="353.6"/>
    <s v="2025-03-04"/>
    <n v="3"/>
    <s v="Holi"/>
    <s v="Promoted"/>
    <s v="Known Employee"/>
    <n v="8"/>
    <x v="2"/>
  </r>
  <r>
    <s v="TRN-9257"/>
    <s v="CUST-1148"/>
    <s v="STO-02"/>
    <s v="EMP-0202"/>
    <s v="PROMO-00"/>
    <s v="Debit Card"/>
    <n v="699"/>
    <s v="2025-03-05"/>
    <n v="3"/>
    <s v="Holi"/>
    <s v="Promoted"/>
    <s v="Known Employee"/>
    <n v="4"/>
    <x v="2"/>
  </r>
  <r>
    <s v="TRN-9665"/>
    <s v="CUST-1067"/>
    <s v="STO-04"/>
    <s v="EMP-0405"/>
    <s v="PROMO-00"/>
    <s v="Mobile Payment"/>
    <n v="240"/>
    <s v="2025-03-07"/>
    <n v="3"/>
    <s v="Holi"/>
    <s v="Promoted"/>
    <s v="Known Employee"/>
    <n v="4"/>
    <x v="2"/>
  </r>
  <r>
    <s v="TRN-9707"/>
    <s v="CUST-1077"/>
    <s v="STO-03"/>
    <s v="EMP-0301"/>
    <s v="PROMO-00"/>
    <s v="Debit Card"/>
    <n v="480"/>
    <s v="2025-03-09"/>
    <n v="3"/>
    <s v="Holi"/>
    <s v="Promoted"/>
    <s v="Known Employee"/>
    <n v="5"/>
    <x v="2"/>
  </r>
  <r>
    <s v="TRN-9705"/>
    <s v="CUST-1181"/>
    <s v="STO-04"/>
    <s v="EMP-0405"/>
    <s v="PROMO-03"/>
    <s v="Debit Card"/>
    <n v="512.04999999999995"/>
    <s v="2025-03-09"/>
    <n v="3"/>
    <s v="Holi"/>
    <s v="Promoted"/>
    <s v="Known Employee"/>
    <n v="2"/>
    <x v="2"/>
  </r>
  <r>
    <s v=" TRN-9050 "/>
    <s v="CUST-1152"/>
    <s v="STO-01"/>
    <s v="EMP-0105"/>
    <s v="PROMO-02"/>
    <s v="Debit Card"/>
    <n v="72"/>
    <s v="2025-03-11"/>
    <n v="3"/>
    <s v="Holi"/>
    <s v="Promoted"/>
    <s v="Known Employee"/>
    <n v="5"/>
    <x v="2"/>
  </r>
  <r>
    <s v="TRN-9663"/>
    <s v="CUST-1171"/>
    <s v="STO-01"/>
    <s v="EMP-0103"/>
    <s v="PROMO-00"/>
    <s v="Mobile Payment"/>
    <n v="628"/>
    <s v="2025-03-12"/>
    <n v="3"/>
    <s v="Holi"/>
    <s v="Promoted"/>
    <s v="Known Employee"/>
    <n v="5"/>
    <x v="2"/>
  </r>
  <r>
    <s v="TRN-9115"/>
    <s v="CUST-1117"/>
    <s v="STO-04"/>
    <s v="EMP-0402"/>
    <s v="PROMO-02"/>
    <s v="Debit Card"/>
    <n v="49.5"/>
    <s v="2025-03-13"/>
    <n v="3"/>
    <s v="Holi"/>
    <s v="Promoted"/>
    <s v="Known Employee"/>
    <n v="5"/>
    <x v="2"/>
  </r>
  <r>
    <s v="TRN-9252"/>
    <s v="CUST-1012"/>
    <s v="STO-02"/>
    <s v="EMP-0205"/>
    <s v="PROMO-02"/>
    <s v="Unknown"/>
    <n v="540.9"/>
    <s v="2025-03-17"/>
    <n v="3"/>
    <s v="Holi"/>
    <s v="Promoted"/>
    <s v="Known Employee"/>
    <n v="3"/>
    <x v="2"/>
  </r>
  <r>
    <s v="TRN-9191"/>
    <s v="CUST-1101"/>
    <s v="STO-03"/>
    <s v="EMP-0301"/>
    <s v="PROMO-00"/>
    <s v="Cash"/>
    <n v="242"/>
    <s v="2025-03-18"/>
    <n v="3"/>
    <s v="Holi"/>
    <s v="Promoted"/>
    <s v="Known Employee"/>
    <n v="3"/>
    <x v="2"/>
  </r>
  <r>
    <s v="TRN-9598"/>
    <s v="CUST-1046"/>
    <s v="STO-03"/>
    <s v="EMP-0301"/>
    <s v="PROMO-00"/>
    <s v="Cash"/>
    <n v="469"/>
    <s v="2025-03-20"/>
    <n v="3"/>
    <s v="Holi"/>
    <s v="Promoted"/>
    <s v="Known Employee"/>
    <n v="4"/>
    <x v="2"/>
  </r>
  <r>
    <s v="TRN-9535"/>
    <s v="CUST-1146"/>
    <s v="STO-03"/>
    <s v="EMP-0301"/>
    <s v="PROMO-00"/>
    <s v="Mobile Payment"/>
    <n v="195"/>
    <s v="2025-03-20"/>
    <n v="3"/>
    <s v="Holi"/>
    <s v="Promoted"/>
    <s v="Known Employee"/>
    <n v="8"/>
    <x v="2"/>
  </r>
  <r>
    <s v="TRN-9794"/>
    <s v="CUST-1108"/>
    <s v="STO-04"/>
    <s v="EMP-0402"/>
    <s v="PROMO-00"/>
    <s v="Debit Card"/>
    <n v="270"/>
    <s v="2025-03-24"/>
    <n v="3"/>
    <s v="Holi"/>
    <s v="Promoted"/>
    <s v="Known Employee"/>
    <n v="4"/>
    <x v="2"/>
  </r>
  <r>
    <s v="TRN-9318"/>
    <s v="CUST-1117"/>
    <s v="STO-02"/>
    <s v="EMP-0202"/>
    <s v="PROMO-00"/>
    <s v=" Credit Card "/>
    <n v="500"/>
    <s v="2025-03-24"/>
    <n v="3"/>
    <s v="Holi"/>
    <s v="Promoted"/>
    <s v="Known Employee"/>
    <n v="5"/>
    <x v="2"/>
  </r>
  <r>
    <s v="TRN-9666"/>
    <s v="CUST-1022"/>
    <s v="STO-01"/>
    <s v="EMP-0105"/>
    <s v="PROMO-02"/>
    <s v="Credit Card"/>
    <n v="495.9"/>
    <s v="2025-03-27"/>
    <n v="3"/>
    <s v="Holi"/>
    <s v="Promoted"/>
    <s v="Known Employee"/>
    <n v="7"/>
    <x v="2"/>
  </r>
  <r>
    <s v="TRN-9206"/>
    <s v="CUST-1066"/>
    <s v="STO-04"/>
    <s v=" EMP-0402 "/>
    <s v="PROMO-00"/>
    <s v="Mobile Payment"/>
    <n v="370"/>
    <s v="2025-03-31"/>
    <n v="3"/>
    <s v="Holi"/>
    <s v="Promoted"/>
    <s v="Known Employee"/>
    <n v="3"/>
    <x v="2"/>
  </r>
  <r>
    <s v="TRN-9242"/>
    <s v="CUST-1178"/>
    <s v="STO-01"/>
    <s v="EMP-0104"/>
    <s v="PROMO-00"/>
    <s v="Mobile Payment"/>
    <n v="220"/>
    <s v="2025-04-03"/>
    <n v="4"/>
    <s v="Regular"/>
    <s v="Promoted"/>
    <s v="Known Employee"/>
    <n v="7"/>
    <x v="3"/>
  </r>
  <r>
    <s v="TRN-9197"/>
    <s v="CUST-1015"/>
    <s v="STO-04"/>
    <s v="EMP-0405"/>
    <s v="PROMO-02"/>
    <s v="Mobile Payment"/>
    <n v="122.4"/>
    <s v="2025-04-06"/>
    <n v="4"/>
    <s v="Regular"/>
    <s v="Promoted"/>
    <s v="Known Employee"/>
    <n v="6"/>
    <x v="3"/>
  </r>
  <r>
    <s v="TRN-9735"/>
    <s v="CUST-1146"/>
    <s v="STO-04"/>
    <s v="EMP-0405"/>
    <s v=" PROMO-00 "/>
    <s v="Cash"/>
    <n v="310"/>
    <s v="2025-04-11"/>
    <n v="4"/>
    <s v="Regular"/>
    <s v="Promoted"/>
    <s v="Known Employee"/>
    <n v="8"/>
    <x v="3"/>
  </r>
  <r>
    <s v="TRN-9361"/>
    <s v="CUST-1029"/>
    <s v="STO-02"/>
    <s v="EMP-0204"/>
    <s v="PROMO-00"/>
    <s v="Credit Card"/>
    <n v="455"/>
    <s v="2025-04-14"/>
    <n v="4"/>
    <s v="Regular"/>
    <s v="Promoted"/>
    <s v="Known Employee"/>
    <n v="4"/>
    <x v="3"/>
  </r>
  <r>
    <s v="TRN-9640"/>
    <s v="CUST-1153"/>
    <s v="STO-02"/>
    <s v="EMP-0202"/>
    <s v="PROMO-02"/>
    <s v="Debit Card"/>
    <n v="72"/>
    <s v="2025-04-14"/>
    <n v="4"/>
    <s v="Regular"/>
    <s v="Promoted"/>
    <s v="Known Employee"/>
    <n v="7"/>
    <x v="3"/>
  </r>
  <r>
    <s v="TRN-9999"/>
    <s v="CUST-1001"/>
    <s v="STO-04"/>
    <s v="EMP-0402"/>
    <s v="PROMO-00"/>
    <s v="Debit Card"/>
    <n v="670"/>
    <s v="2025-04-15"/>
    <n v="4"/>
    <s v="Regular"/>
    <s v="Promoted"/>
    <s v="Known Employee"/>
    <n v="5"/>
    <x v="3"/>
  </r>
  <r>
    <s v="TRN-9717"/>
    <s v="CUST-1200"/>
    <s v="STO-04"/>
    <s v="EMP-0402"/>
    <s v="PROMO-03"/>
    <s v="Unknown"/>
    <n v="850.25"/>
    <s v="2025-04-15"/>
    <n v="4"/>
    <s v="Regular"/>
    <s v="Promoted"/>
    <s v="Known Employee"/>
    <n v="6"/>
    <x v="3"/>
  </r>
  <r>
    <s v="TRN-9611"/>
    <s v="CUST-1097"/>
    <s v="STO-04"/>
    <s v="EMP-0405"/>
    <s v="PROMO-00"/>
    <s v=" Cash "/>
    <n v="174"/>
    <s v="2025-04-17"/>
    <n v="4"/>
    <s v="Regular"/>
    <s v="Promoted"/>
    <s v="Known Employee"/>
    <n v="5"/>
    <x v="3"/>
  </r>
  <r>
    <s v="TRN-9263"/>
    <s v="CUST-1157"/>
    <s v="STO-03"/>
    <s v="EMP-0305"/>
    <s v="PROMO-00"/>
    <s v="Debit Card"/>
    <n v="65"/>
    <s v="2025-04-17"/>
    <n v="4"/>
    <s v="Regular"/>
    <s v="Promoted"/>
    <s v="Known Employee"/>
    <n v="6"/>
    <x v="3"/>
  </r>
  <r>
    <s v="TRN-9815"/>
    <s v="CUST-1017"/>
    <s v="STO-03"/>
    <s v="EMP-0301"/>
    <s v="PROMO-00"/>
    <s v="Cash"/>
    <n v="300"/>
    <s v="2025-04-22"/>
    <n v="4"/>
    <s v="Regular"/>
    <s v="Promoted"/>
    <s v="Known Employee"/>
    <n v="6"/>
    <x v="3"/>
  </r>
  <r>
    <s v="TRN-9308"/>
    <s v="CUST-1071"/>
    <s v="STO-01"/>
    <s v="EMP-0103"/>
    <s v="PROMO-00"/>
    <s v="Credit Card"/>
    <n v="70"/>
    <s v="2025-04-23"/>
    <n v="4"/>
    <s v="Regular"/>
    <s v="Promoted"/>
    <s v="Known Employee"/>
    <n v="4"/>
    <x v="3"/>
  </r>
  <r>
    <s v="TRN-9593"/>
    <s v="CUST-1173"/>
    <s v="STO-04"/>
    <s v="EMP-0405"/>
    <s v="PROMO-00"/>
    <s v="Credit Card"/>
    <n v="185"/>
    <s v="2025-04-24"/>
    <n v="4"/>
    <s v="Regular"/>
    <s v="Promoted"/>
    <s v="Known Employee"/>
    <n v="4"/>
    <x v="3"/>
  </r>
  <r>
    <s v="TRN-9380"/>
    <s v="CUST-1030"/>
    <s v="STO-04"/>
    <s v="EMP-0402"/>
    <s v="PROMO-01"/>
    <s v="Mobile Payment"/>
    <n v="42.5"/>
    <s v="2025-04-25"/>
    <n v="4"/>
    <s v="Regular"/>
    <s v="Promoted"/>
    <s v="Known Employee"/>
    <n v="6"/>
    <x v="3"/>
  </r>
  <r>
    <s v="TRN-9497"/>
    <s v="CUST-1066"/>
    <s v="STO-03"/>
    <s v="EMP-0303"/>
    <s v="PROMO-00"/>
    <s v="Credit Card"/>
    <n v="584"/>
    <s v="2025-04-26"/>
    <n v="4"/>
    <s v="Regular"/>
    <s v="Promoted"/>
    <s v="Known Employee"/>
    <n v="3"/>
    <x v="3"/>
  </r>
  <r>
    <s v="TRN-9951"/>
    <s v="CUST-1189"/>
    <s v="STO-04"/>
    <s v="EMP-0402"/>
    <s v="PROMO-02"/>
    <s v="Credit Card"/>
    <n v="387"/>
    <s v="2025-04-26"/>
    <n v="4"/>
    <s v="Regular"/>
    <s v="Promoted"/>
    <s v="Known Employee"/>
    <n v="6"/>
    <x v="3"/>
  </r>
  <r>
    <s v="TRN-9805"/>
    <s v="CUST-1163"/>
    <s v="STO-04"/>
    <s v="EMP-0404"/>
    <s v="PROMO-00"/>
    <s v="Cash"/>
    <n v="504"/>
    <s v="2025-05-02"/>
    <n v="5"/>
    <s v="Regular"/>
    <s v="Promoted"/>
    <s v="Known Employee"/>
    <n v="3"/>
    <x v="4"/>
  </r>
  <r>
    <s v="TRN-9906"/>
    <s v="CUST-1068"/>
    <s v="STO-03"/>
    <s v="EMP-0301"/>
    <s v="PROMO-00"/>
    <s v="Cash"/>
    <n v="204"/>
    <s v="2025-05-03"/>
    <n v="5"/>
    <s v="Regular"/>
    <s v="Promoted"/>
    <s v="Known Employee"/>
    <n v="3"/>
    <x v="4"/>
  </r>
  <r>
    <s v="TRN-9521"/>
    <s v="CUST-1124"/>
    <s v="STO-04"/>
    <s v="EMP-0403"/>
    <s v="PROMO-00"/>
    <s v="Credit Card"/>
    <n v="215"/>
    <s v="2025-05-03"/>
    <n v="5"/>
    <s v="Regular"/>
    <s v="Promoted"/>
    <s v="Known Employee"/>
    <n v="4"/>
    <x v="4"/>
  </r>
  <r>
    <s v="TRN-9862"/>
    <s v="CUST-1147"/>
    <s v="STO-04"/>
    <s v="EMP-0404"/>
    <s v="PROMO-00"/>
    <s v="Credit Card"/>
    <n v="58"/>
    <s v="2025-05-04"/>
    <n v="5"/>
    <s v="Regular"/>
    <s v="Promoted"/>
    <s v="Known Employee"/>
    <n v="8"/>
    <x v="4"/>
  </r>
  <r>
    <s v="TRN-9334"/>
    <s v="CUST-1174"/>
    <s v="STO-03"/>
    <s v="EMP-0305"/>
    <s v="PROMO-00"/>
    <s v="Debit Card"/>
    <n v="510"/>
    <s v="2025-05-05"/>
    <n v="5"/>
    <s v="Regular"/>
    <s v="Promoted"/>
    <s v="Known Employee"/>
    <n v="4"/>
    <x v="4"/>
  </r>
  <r>
    <s v="TRN-9325"/>
    <s v="CUST-1032"/>
    <s v="STO-03"/>
    <s v="EMP-0303"/>
    <s v=" PROMO-00 "/>
    <s v="Mobile Payment"/>
    <n v="260"/>
    <s v="2025-05-06"/>
    <n v="5"/>
    <s v="Regular"/>
    <s v="Promoted"/>
    <s v="Known Employee"/>
    <n v="6"/>
    <x v="4"/>
  </r>
  <r>
    <s v="TRN-9472"/>
    <s v="CUST-1001"/>
    <s v="STO-04"/>
    <s v="EMP-0402"/>
    <s v="PROMO-00"/>
    <s v="Cash"/>
    <n v="375"/>
    <s v="2025-05-08"/>
    <n v="5"/>
    <s v="Regular"/>
    <s v="Promoted"/>
    <s v="Known Employee"/>
    <n v="5"/>
    <x v="4"/>
  </r>
  <r>
    <s v="TRN-9528"/>
    <s v="CUST-1019"/>
    <s v="STO-01"/>
    <s v="EMP-0105"/>
    <s v="PROMO-02"/>
    <s v=" Mobile Payment "/>
    <n v="135"/>
    <s v="2025-05-09"/>
    <n v="5"/>
    <s v="Regular"/>
    <s v="Promoted"/>
    <s v="Known Employee"/>
    <n v="1"/>
    <x v="4"/>
  </r>
  <r>
    <s v="TRN-9791"/>
    <s v="CUST-1122"/>
    <s v="STO-04"/>
    <s v="EMP-0401"/>
    <s v="PROMO-00"/>
    <s v="Cash"/>
    <n v="60"/>
    <s v="2025-05-10"/>
    <n v="5"/>
    <s v="Regular"/>
    <s v="Promoted"/>
    <s v="Known Employee"/>
    <n v="3"/>
    <x v="4"/>
  </r>
  <r>
    <s v="TRN-9581"/>
    <s v="CUST-1153"/>
    <s v="STO-04"/>
    <s v="EMP-0403"/>
    <s v="PROMO-03"/>
    <s v="Cash"/>
    <n v="114"/>
    <s v="2025-05-10"/>
    <n v="5"/>
    <s v="Regular"/>
    <s v="Promoted"/>
    <s v="Known Employee"/>
    <n v="7"/>
    <x v="4"/>
  </r>
  <r>
    <s v="TRN-9153"/>
    <s v="CUST-1126"/>
    <s v="STO-02"/>
    <s v="EMP-0204"/>
    <s v="PROMO-00"/>
    <s v="Mobile Payment"/>
    <n v="455"/>
    <s v="2025-05-11"/>
    <n v="5"/>
    <s v="Regular"/>
    <s v="Promoted"/>
    <s v="Known Employee"/>
    <n v="3"/>
    <x v="4"/>
  </r>
  <r>
    <s v="TRN-9739"/>
    <s v="CUST-1004"/>
    <s v="STO-04"/>
    <s v=" EMP-0404 "/>
    <s v="PROMO-00"/>
    <s v="Mobile Payment"/>
    <n v="630"/>
    <s v="2025-05-12"/>
    <n v="5"/>
    <s v="Regular"/>
    <s v="Promoted"/>
    <s v="Known Employee"/>
    <n v="1"/>
    <x v="4"/>
  </r>
  <r>
    <s v="TRN-9514"/>
    <s v="CUST-1113"/>
    <s v="STO-04"/>
    <s v="EMP-0404"/>
    <s v="PROMO-00"/>
    <s v="Credit Card"/>
    <n v="135"/>
    <s v="2025-05-15"/>
    <n v="5"/>
    <s v="Regular"/>
    <s v="Promoted"/>
    <s v="Known Employee"/>
    <n v="5"/>
    <x v="4"/>
  </r>
  <r>
    <s v="TRN-9405"/>
    <s v="CUST-1007"/>
    <s v="STO-02"/>
    <s v="EMP-0204"/>
    <s v="PROMO-00"/>
    <s v="Mobile Payment"/>
    <n v="130"/>
    <s v="2025-05-16"/>
    <n v="5"/>
    <s v="Regular"/>
    <s v="Promoted"/>
    <s v="Known Employee"/>
    <n v="8"/>
    <x v="4"/>
  </r>
  <r>
    <s v="TRN-9122"/>
    <s v="CUST-1014"/>
    <s v="STO-03"/>
    <s v="EMP-0302"/>
    <s v="PROMO-00"/>
    <s v="Debit Card"/>
    <n v="325"/>
    <s v="2025-05-16"/>
    <n v="5"/>
    <s v="Regular"/>
    <s v="Promoted"/>
    <s v="Known Employee"/>
    <n v="5"/>
    <x v="4"/>
  </r>
  <r>
    <s v="TRN-9064"/>
    <s v="CUST-1179"/>
    <s v="STO-03"/>
    <s v="EMP-0304"/>
    <s v="PROMO-03"/>
    <s v="Mobile Payment"/>
    <n v="209"/>
    <s v="2025-05-17"/>
    <n v="5"/>
    <s v="Regular"/>
    <s v="Promoted"/>
    <s v="Known Employee"/>
    <n v="7"/>
    <x v="4"/>
  </r>
  <r>
    <s v="TRN-9480"/>
    <s v="CUST-1189"/>
    <s v="STO-03"/>
    <s v="EMP-0301"/>
    <s v="PROMO-00"/>
    <s v=" Mobile Payment "/>
    <n v="210"/>
    <s v="2025-05-21"/>
    <n v="5"/>
    <s v="Regular"/>
    <s v="Promoted"/>
    <s v="Known Employee"/>
    <n v="6"/>
    <x v="4"/>
  </r>
  <r>
    <s v="TRN-9807"/>
    <s v="CUST-1048"/>
    <s v="STO-01"/>
    <s v="EMP-0105"/>
    <s v="PROMO-00"/>
    <s v="Cash"/>
    <n v="100"/>
    <s v="2025-05-22"/>
    <n v="5"/>
    <s v="Regular"/>
    <s v="Promoted"/>
    <s v="Known Employee"/>
    <n v="8"/>
    <x v="4"/>
  </r>
  <r>
    <s v="TRN-9059"/>
    <s v="CUST-1036"/>
    <s v="STO-03"/>
    <s v="EMP-0302"/>
    <s v="PROMO-03"/>
    <s v="Mobile Payment"/>
    <n v="457.9"/>
    <s v="2025-05-24"/>
    <n v="5"/>
    <s v="Regular"/>
    <s v="Promoted"/>
    <s v="Known Employee"/>
    <n v="4"/>
    <x v="4"/>
  </r>
  <r>
    <s v="TRN-9133"/>
    <s v="CUST-1144"/>
    <s v="STO-02"/>
    <s v="EMP-0204"/>
    <s v="PROMO-03"/>
    <s v="Credit Card"/>
    <n v="484.5"/>
    <s v="2025-05-26"/>
    <n v="5"/>
    <s v="Regular"/>
    <s v="Promoted"/>
    <s v="Known Employee"/>
    <n v="2"/>
    <x v="4"/>
  </r>
  <r>
    <s v="TRN-9845"/>
    <s v="CUST-1074"/>
    <s v="STO-04"/>
    <s v="EMP-0401"/>
    <s v="PROMO-00"/>
    <s v="Debit Card"/>
    <n v="304"/>
    <s v="2025-05-27"/>
    <n v="5"/>
    <s v="Regular"/>
    <s v="Promoted"/>
    <s v="Known Employee"/>
    <n v="6"/>
    <x v="4"/>
  </r>
  <r>
    <s v="TRN-9809"/>
    <s v="CUST-1125"/>
    <s v="Unknown"/>
    <s v="EMP-0203"/>
    <s v="PROMO-00"/>
    <s v="Credit Card"/>
    <n v="242"/>
    <s v="2025-05-29"/>
    <n v="5"/>
    <s v="Regular"/>
    <s v="Promoted"/>
    <s v="Known Employee"/>
    <n v="3"/>
    <x v="4"/>
  </r>
  <r>
    <s v="TRN-9147"/>
    <s v="CUST-1009"/>
    <s v="STO-02"/>
    <s v="EMP-0201"/>
    <s v="PROMO-01"/>
    <s v="Mobile Payment"/>
    <n v="476.85"/>
    <s v="2025-06-04"/>
    <n v="6"/>
    <s v="Regular"/>
    <s v="Promoted"/>
    <s v="Known Employee"/>
    <n v="2"/>
    <x v="5"/>
  </r>
  <r>
    <s v="TRN-9079"/>
    <s v="CUST-1037"/>
    <s v="STO-03"/>
    <s v="EMP-0302"/>
    <s v=" PROMO-00 "/>
    <s v="Credit Card"/>
    <n v="455"/>
    <s v="2025-06-04"/>
    <n v="6"/>
    <s v="Regular"/>
    <s v="Promoted"/>
    <s v="Known Employee"/>
    <n v="3"/>
    <x v="5"/>
  </r>
  <r>
    <s v="TRN-9742"/>
    <s v="CUST-1162"/>
    <s v="STO-04"/>
    <s v="EMP-0404"/>
    <s v="PROMO-01"/>
    <s v="Debit Card"/>
    <n v="161.5"/>
    <s v="2025-06-07"/>
    <n v="6"/>
    <s v="Regular"/>
    <s v="Promoted"/>
    <s v="Known Employee"/>
    <n v="4"/>
    <x v="5"/>
  </r>
  <r>
    <s v="TRN-9899"/>
    <s v="CUST-1014"/>
    <s v="STO-04"/>
    <s v="EMP-0401"/>
    <s v="PROMO-01"/>
    <s v="Cash"/>
    <n v="323"/>
    <s v="2025-06-10"/>
    <n v="6"/>
    <s v="Regular"/>
    <s v="Promoted"/>
    <s v="Known Employee"/>
    <n v="5"/>
    <x v="5"/>
  </r>
  <r>
    <s v="TRN-9144"/>
    <s v="CUST-1179"/>
    <s v="STO-04"/>
    <s v="EMP-0404"/>
    <s v="PROMO-00"/>
    <s v="Credit Card"/>
    <n v="225"/>
    <s v="2025-06-13"/>
    <n v="6"/>
    <s v="Regular"/>
    <s v="Promoted"/>
    <s v="Known Employee"/>
    <n v="7"/>
    <x v="5"/>
  </r>
  <r>
    <s v="TRN-9065"/>
    <s v="CUST-1060"/>
    <s v="STO-04"/>
    <s v="EMP-0401"/>
    <s v="PROMO-00"/>
    <s v="Debit Card"/>
    <n v="266"/>
    <s v="2025-06-15"/>
    <n v="6"/>
    <s v="Regular"/>
    <s v="Promoted"/>
    <s v="Known Employee"/>
    <n v="3"/>
    <x v="5"/>
  </r>
  <r>
    <s v=" TRN-9450 "/>
    <s v="CUST-1120"/>
    <s v="STO-03"/>
    <s v="EMP-0304"/>
    <s v="PROMO-00"/>
    <s v="Debit Card"/>
    <n v="449"/>
    <s v="2025-06-16"/>
    <n v="6"/>
    <s v="Regular"/>
    <s v="Promoted"/>
    <s v="Known Employee"/>
    <n v="6"/>
    <x v="5"/>
  </r>
  <r>
    <s v="TRN-9245"/>
    <s v="CUST-1127"/>
    <s v="STO-04"/>
    <s v="EMP-0401"/>
    <s v="PROMO-00"/>
    <s v="Debit Card"/>
    <n v="366"/>
    <s v="2025-06-16"/>
    <n v="6"/>
    <s v="Regular"/>
    <s v="Promoted"/>
    <s v="Known Employee"/>
    <n v="5"/>
    <x v="5"/>
  </r>
  <r>
    <s v="TRN-9396"/>
    <s v="CUST-1159"/>
    <s v="STO-03"/>
    <s v="EMP-0305"/>
    <s v="PROMO-01"/>
    <s v="Cash"/>
    <n v="204"/>
    <s v="2025-06-18"/>
    <n v="6"/>
    <s v="Regular"/>
    <s v="Promoted"/>
    <s v="Known Employee"/>
    <n v="6"/>
    <x v="5"/>
  </r>
  <r>
    <s v="TRN-9322"/>
    <s v="CUST-1079"/>
    <s v="STO-02"/>
    <s v="EMP-0204"/>
    <s v="PROMO-00"/>
    <s v="Mobile Payment"/>
    <n v="188"/>
    <s v="2025-06-22"/>
    <n v="6"/>
    <s v="Regular"/>
    <s v="Promoted"/>
    <s v="Known Employee"/>
    <n v="3"/>
    <x v="5"/>
  </r>
  <r>
    <s v="TRN-9273"/>
    <s v="CUST-1072"/>
    <s v="STO-03"/>
    <s v="EMP-0304"/>
    <s v="PROMO-00"/>
    <s v="Cash"/>
    <n v="165"/>
    <s v="2025-06-23"/>
    <n v="6"/>
    <s v="Regular"/>
    <s v="Promoted"/>
    <s v="Known Employee"/>
    <n v="3"/>
    <x v="5"/>
  </r>
  <r>
    <s v="TRN-9782"/>
    <s v="CUST-1159"/>
    <s v=" STO-04 "/>
    <s v="EMP-0403"/>
    <s v="PROMO-01"/>
    <s v="Credit Card"/>
    <n v="353.6"/>
    <s v="2025-06-27"/>
    <n v="6"/>
    <s v="Regular"/>
    <s v="Promoted"/>
    <s v="Known Employee"/>
    <n v="6"/>
    <x v="5"/>
  </r>
  <r>
    <s v="TRN-9485"/>
    <s v="CUST-1079"/>
    <s v="STO-01"/>
    <s v="EMP-0101"/>
    <s v="PROMO-00"/>
    <s v="Cash"/>
    <n v="328"/>
    <s v="2025-07-01"/>
    <n v="7"/>
    <s v="Regular"/>
    <s v="Promoted"/>
    <s v="Known Employee"/>
    <n v="3"/>
    <x v="6"/>
  </r>
  <r>
    <s v="TRN-9961"/>
    <s v="CUST-1050"/>
    <s v="STO-02"/>
    <s v="EMP-0204"/>
    <s v="PROMO-02"/>
    <s v="Mobile Payment"/>
    <n v="651.6"/>
    <s v="2025-07-02"/>
    <n v="7"/>
    <s v="Regular"/>
    <s v="Promoted"/>
    <s v="Known Employee"/>
    <n v="6"/>
    <x v="6"/>
  </r>
  <r>
    <s v="TRN-9008"/>
    <s v="CUST-1054"/>
    <s v="STO-03"/>
    <s v="EMP-0303"/>
    <s v="PROMO-00"/>
    <s v="Mobile Payment"/>
    <n v="420"/>
    <s v="2025-07-05"/>
    <n v="7"/>
    <s v="Regular"/>
    <s v="Promoted"/>
    <s v="Known Employee"/>
    <n v="4"/>
    <x v="6"/>
  </r>
  <r>
    <s v="TRN-9284"/>
    <s v="CUST-1096"/>
    <s v="STO-04"/>
    <s v="EMP-0403"/>
    <s v="PROMO-00"/>
    <s v="Mobile Payment"/>
    <n v="615"/>
    <s v="2025-07-08"/>
    <n v="7"/>
    <s v="Regular"/>
    <s v="Promoted"/>
    <s v="Known Employee"/>
    <n v="5"/>
    <x v="6"/>
  </r>
  <r>
    <s v="TRN-9570"/>
    <s v="CUST-1067"/>
    <s v="STO-01"/>
    <s v="EMP-0104"/>
    <s v="PROMO-00"/>
    <s v="Debit Card"/>
    <n v="455"/>
    <s v="2025-07-12"/>
    <n v="7"/>
    <s v="Regular"/>
    <s v="Promoted"/>
    <s v="Known Employee"/>
    <n v="4"/>
    <x v="6"/>
  </r>
  <r>
    <s v="TRN-9479"/>
    <s v="CUST-1033"/>
    <s v="STO-04"/>
    <s v="EMP-0402"/>
    <s v="PROMO-00"/>
    <s v="Debit Card"/>
    <n v="535"/>
    <s v="2025-07-14"/>
    <n v="7"/>
    <s v="Regular"/>
    <s v="Promoted"/>
    <s v="Known Employee"/>
    <n v="3"/>
    <x v="6"/>
  </r>
  <r>
    <s v="TRN-9779"/>
    <s v="CUST-1161"/>
    <s v="STO-02"/>
    <s v="EMP-0205"/>
    <s v="PROMO-00"/>
    <s v="Credit Card"/>
    <n v="507"/>
    <s v="2025-07-14"/>
    <n v="7"/>
    <s v="Regular"/>
    <s v="Promoted"/>
    <s v="Known Employee"/>
    <n v="4"/>
    <x v="6"/>
  </r>
  <r>
    <s v="TRN-9855"/>
    <s v="CUST-1076"/>
    <s v="STO-02"/>
    <s v="EMP-0203"/>
    <s v="PROMO-00"/>
    <s v="Cash"/>
    <n v="295"/>
    <s v="2025-07-17"/>
    <n v="7"/>
    <s v="Regular"/>
    <s v="Promoted"/>
    <s v="Known Employee"/>
    <n v="3"/>
    <x v="6"/>
  </r>
  <r>
    <s v="TRN-9543"/>
    <s v="CUST-1102"/>
    <s v="STO-01"/>
    <s v="EMP-0103"/>
    <s v="PROMO-00"/>
    <s v=" Cash "/>
    <n v="220"/>
    <s v="2025-07-18"/>
    <n v="7"/>
    <s v="Regular"/>
    <s v="Promoted"/>
    <s v="Known Employee"/>
    <n v="5"/>
    <x v="6"/>
  </r>
  <r>
    <s v="TRN-9801"/>
    <s v="CUST-1077"/>
    <s v="STO-02"/>
    <s v="EMP-0201"/>
    <s v="PROMO-00"/>
    <s v="Credit Card"/>
    <n v="444"/>
    <s v="2025-07-20"/>
    <n v="7"/>
    <s v="Regular"/>
    <s v="Promoted"/>
    <s v="Known Employee"/>
    <n v="5"/>
    <x v="6"/>
  </r>
  <r>
    <s v="TRN-9440"/>
    <s v="CUST-1018"/>
    <s v="STO-01"/>
    <s v="EMP-0101"/>
    <s v="PROMO-02"/>
    <s v="Mobile Payment"/>
    <n v="202.5"/>
    <s v="2025-07-23"/>
    <n v="7"/>
    <s v="Regular"/>
    <s v="Promoted"/>
    <s v="Known Employee"/>
    <n v="2"/>
    <x v="6"/>
  </r>
  <r>
    <s v="TRN-9635"/>
    <s v="CUST-1145"/>
    <s v="STO-03"/>
    <s v="EMP-0305"/>
    <s v=" PROMO-02 "/>
    <s v="Cash"/>
    <n v="634.5"/>
    <s v="2025-07-25"/>
    <n v="7"/>
    <s v="Regular"/>
    <s v="Promoted"/>
    <s v="Known Employee"/>
    <n v="3"/>
    <x v="6"/>
  </r>
  <r>
    <s v=" TRN-9555 "/>
    <s v="CUST-1114"/>
    <s v="STO-04"/>
    <s v="Unknown"/>
    <s v="PROMO-00"/>
    <s v=" Cash "/>
    <n v="278"/>
    <s v="2025-07-27"/>
    <n v="7"/>
    <s v="Regular"/>
    <s v="Promoted"/>
    <s v="UnKnown Employee"/>
    <n v="4"/>
    <x v="6"/>
  </r>
  <r>
    <s v="TRN-9342"/>
    <s v="CUST-1110"/>
    <s v="STO-02"/>
    <s v="EMP-0202"/>
    <s v=" PROMO-00 "/>
    <s v="Debit Card"/>
    <n v="340"/>
    <s v="2025-07-28"/>
    <n v="7"/>
    <s v="Regular"/>
    <s v="Promoted"/>
    <s v="Known Employee"/>
    <n v="2"/>
    <x v="6"/>
  </r>
  <r>
    <s v="TRN-9525"/>
    <s v="CUST-1107"/>
    <s v="STO-02"/>
    <s v="EMP-0201"/>
    <s v="PROMO-00"/>
    <s v="Debit Card"/>
    <n v="153"/>
    <s v="2025-07-30"/>
    <n v="7"/>
    <s v="Regular"/>
    <s v="Promoted"/>
    <s v="Known Employee"/>
    <n v="2"/>
    <x v="6"/>
  </r>
  <r>
    <s v="TRN-9154"/>
    <s v="CUST-1104"/>
    <s v="STO-01"/>
    <s v="EMP-0105"/>
    <s v="PROMO-00"/>
    <s v="Cash"/>
    <n v="415"/>
    <s v="2025-08-02"/>
    <n v="8"/>
    <s v="Rakshabandhan"/>
    <s v="Promoted"/>
    <s v="Known Employee"/>
    <n v="6"/>
    <x v="7"/>
  </r>
  <r>
    <s v="TRN-9738"/>
    <s v="CUST-1173"/>
    <s v="STO-03"/>
    <s v="EMP-0302"/>
    <s v="PROMO-00"/>
    <s v="Mobile Payment"/>
    <n v="351"/>
    <s v="2025-08-03"/>
    <n v="8"/>
    <s v="Rakshabandhan"/>
    <s v="Promoted"/>
    <s v="Known Employee"/>
    <n v="4"/>
    <x v="7"/>
  </r>
  <r>
    <s v=" TRN-9159 "/>
    <s v="CUST-1030"/>
    <s v=" STO-04 "/>
    <s v="EMP-0405"/>
    <s v="PROMO-00"/>
    <s v=" Credit Card "/>
    <n v="495"/>
    <s v="2025-08-05"/>
    <n v="8"/>
    <s v="Rakshabandhan"/>
    <s v="Promoted"/>
    <s v="Known Employee"/>
    <n v="6"/>
    <x v="7"/>
  </r>
  <r>
    <s v=" TRN-9031 "/>
    <s v="CUST-1189"/>
    <s v="STO-03"/>
    <s v="EMP-0302"/>
    <s v="PROMO-00"/>
    <s v="Credit Card"/>
    <n v="651"/>
    <s v="2025-08-07"/>
    <n v="8"/>
    <s v="Rakshabandhan"/>
    <s v="Promoted"/>
    <s v="Known Employee"/>
    <n v="6"/>
    <x v="7"/>
  </r>
  <r>
    <s v="TRN-9973"/>
    <s v="CUST-1049"/>
    <s v="STO-01"/>
    <s v="EMP-0103"/>
    <s v="PROMO-00"/>
    <s v="Cash"/>
    <n v="120"/>
    <s v="2025-08-08"/>
    <n v="8"/>
    <s v="Rakshabandhan"/>
    <s v="Promoted"/>
    <s v="Known Employee"/>
    <n v="4"/>
    <x v="7"/>
  </r>
  <r>
    <s v="TRN-9513"/>
    <s v="CUST-1138"/>
    <s v="STO-01"/>
    <s v="EMP-0103"/>
    <s v="PROMO-00"/>
    <s v="Mobile Payment"/>
    <n v="166"/>
    <s v="2025-08-08"/>
    <n v="8"/>
    <s v="Rakshabandhan"/>
    <s v="Promoted"/>
    <s v="Known Employee"/>
    <n v="5"/>
    <x v="7"/>
  </r>
  <r>
    <s v="TRN-9082"/>
    <s v="CUST-1195"/>
    <s v="STO-04"/>
    <s v="EMP-0405"/>
    <s v="PROMO-03"/>
    <s v="Credit Card"/>
    <n v="532"/>
    <s v="2025-08-10"/>
    <n v="8"/>
    <s v="Rakshabandhan"/>
    <s v="Promoted"/>
    <s v="Known Employee"/>
    <n v="4"/>
    <x v="7"/>
  </r>
  <r>
    <s v="TRN-9829"/>
    <s v=" CUST-1131 "/>
    <s v="STO-02"/>
    <s v="EMP-0204"/>
    <s v="PROMO-00"/>
    <s v="Debit Card"/>
    <n v="764"/>
    <s v="2025-08-12"/>
    <n v="8"/>
    <s v="Rakshabandhan"/>
    <s v="Promoted"/>
    <s v="Known Employee"/>
    <n v="1"/>
    <x v="7"/>
  </r>
  <r>
    <s v="TRN-9166"/>
    <s v="CUST-1065"/>
    <s v="STO-04"/>
    <s v="EMP-0402"/>
    <s v="PROMO-01"/>
    <s v="Mobile Payment"/>
    <n v="46.75"/>
    <s v="2025-08-12"/>
    <n v="8"/>
    <s v="Rakshabandhan"/>
    <s v="Promoted"/>
    <s v="Known Employee"/>
    <n v="9"/>
    <x v="7"/>
  </r>
  <r>
    <s v=" TRN-9055 "/>
    <s v="CUST-1080"/>
    <s v="STO-03"/>
    <s v="EMP-0301"/>
    <s v="PROMO-00"/>
    <s v="Debit Card"/>
    <n v="70"/>
    <s v="2025-08-12"/>
    <n v="8"/>
    <s v="Rakshabandhan"/>
    <s v="Promoted"/>
    <s v="Known Employee"/>
    <n v="3"/>
    <x v="7"/>
  </r>
  <r>
    <s v="TRN-9892"/>
    <s v="CUST-1157"/>
    <s v="STO-03"/>
    <s v="EMP-0301"/>
    <s v="PROMO-02"/>
    <s v="Cash"/>
    <n v="63"/>
    <s v="2025-08-13"/>
    <n v="8"/>
    <s v="Rakshabandhan"/>
    <s v="Promoted"/>
    <s v="Known Employee"/>
    <n v="6"/>
    <x v="7"/>
  </r>
  <r>
    <s v="TRN-9366"/>
    <s v="CUST-1164"/>
    <s v="STO-04"/>
    <s v="EMP-0401"/>
    <s v=" PROMO-00 "/>
    <s v="Cash"/>
    <n v="415"/>
    <s v="2025-08-16"/>
    <n v="8"/>
    <s v="Rakshabandhan"/>
    <s v="Promoted"/>
    <s v="Known Employee"/>
    <n v="7"/>
    <x v="7"/>
  </r>
  <r>
    <s v="TRN-9198"/>
    <s v=" CUST-1108 "/>
    <s v="STO-04"/>
    <s v="EMP-0401"/>
    <s v=" PROMO-00 "/>
    <s v="Cash"/>
    <n v="230"/>
    <s v="2025-08-18"/>
    <n v="8"/>
    <s v="Rakshabandhan"/>
    <s v="Promoted"/>
    <s v="Known Employee"/>
    <n v="1"/>
    <x v="7"/>
  </r>
  <r>
    <s v="TRN-9531"/>
    <s v=" CUST-1198 "/>
    <s v="STO-03"/>
    <s v="EMP-0305"/>
    <s v="PROMO-00"/>
    <s v="Debit Card"/>
    <n v="481"/>
    <s v="2025-08-18"/>
    <n v="8"/>
    <s v="Rakshabandhan"/>
    <s v="Promoted"/>
    <s v="Known Employee"/>
    <n v="1"/>
    <x v="7"/>
  </r>
  <r>
    <s v="TRN-9990"/>
    <s v="CUST-1086"/>
    <s v="STO-01"/>
    <s v="EMP-0103"/>
    <s v="No Promotion"/>
    <s v="Cash"/>
    <n v="55"/>
    <s v="2025-08-19"/>
    <n v="8"/>
    <s v="Rakshabandhan"/>
    <s v="Not Promoted"/>
    <s v="Known Employee"/>
    <n v="8"/>
    <x v="7"/>
  </r>
  <r>
    <s v="TRN-9869"/>
    <s v="CUST-1134"/>
    <s v="STO-04"/>
    <s v="EMP-0404"/>
    <s v="PROMO-00"/>
    <s v="Credit Card"/>
    <n v="210"/>
    <s v="2025-08-20"/>
    <n v="8"/>
    <s v="Rakshabandhan"/>
    <s v="Promoted"/>
    <s v="Known Employee"/>
    <n v="2"/>
    <x v="7"/>
  </r>
  <r>
    <s v="TRN-9627"/>
    <s v="CUST-1013"/>
    <s v="STO-04"/>
    <s v="EMP-0401"/>
    <s v="PROMO-00"/>
    <s v="Credit Card"/>
    <n v="440"/>
    <s v="2025-08-27"/>
    <n v="8"/>
    <s v="Rakshabandhan"/>
    <s v="Promoted"/>
    <s v="Known Employee"/>
    <n v="6"/>
    <x v="7"/>
  </r>
  <r>
    <s v=" TRN-9073 "/>
    <s v="CUST-1104"/>
    <s v="STO-02"/>
    <s v="EMP-0202"/>
    <s v="PROMO-00"/>
    <s v="Debit Card"/>
    <n v="170"/>
    <s v="2025-08-27"/>
    <n v="8"/>
    <s v="Rakshabandhan"/>
    <s v="Promoted"/>
    <s v="Known Employee"/>
    <n v="6"/>
    <x v="7"/>
  </r>
  <r>
    <s v="TRN-9452"/>
    <s v=" CUST-1172 "/>
    <s v="STO-03"/>
    <s v="EMP-0301"/>
    <s v="PROMO-00"/>
    <s v="Mobile Payment"/>
    <n v="795"/>
    <s v="2025-08-29"/>
    <n v="8"/>
    <s v="Rakshabandhan"/>
    <s v="Promoted"/>
    <s v="Known Employee"/>
    <n v="1"/>
    <x v="7"/>
  </r>
  <r>
    <s v="TRN-9234"/>
    <s v="CUST-1002"/>
    <s v="STO-03"/>
    <s v="EMP-0302"/>
    <s v="PROMO-00"/>
    <s v="Debit Card"/>
    <n v="150"/>
    <s v="2025-08-31"/>
    <n v="8"/>
    <s v="Rakshabandhan"/>
    <s v="Promoted"/>
    <s v="Known Employee"/>
    <n v="5"/>
    <x v="7"/>
  </r>
  <r>
    <s v="TRN-9776"/>
    <s v="CUST-1007"/>
    <s v=" STO-02 "/>
    <s v="EMP-0202"/>
    <s v="PROMO-00"/>
    <s v="Debit Card"/>
    <n v="625"/>
    <s v="2025-09-04"/>
    <n v="9"/>
    <s v="Navratri"/>
    <s v="Promoted"/>
    <s v="Known Employee"/>
    <n v="8"/>
    <x v="8"/>
  </r>
  <r>
    <s v="TRN-9124"/>
    <s v="CUST-1066"/>
    <s v="STO-01"/>
    <s v="EMP-0102"/>
    <s v="PROMO-01"/>
    <s v="Credit Card"/>
    <n v="144.5"/>
    <s v="2025-09-04"/>
    <n v="9"/>
    <s v="Navratri"/>
    <s v="Promoted"/>
    <s v="Known Employee"/>
    <n v="3"/>
    <x v="8"/>
  </r>
  <r>
    <s v="TRN-9348"/>
    <s v="CUST-1079"/>
    <s v="STO-03"/>
    <s v="EMP-0301"/>
    <s v=" PROMO-00 "/>
    <s v="Mobile Payment"/>
    <n v="454"/>
    <s v="2025-09-07"/>
    <n v="9"/>
    <s v="Navratri"/>
    <s v="Promoted"/>
    <s v="Known Employee"/>
    <n v="3"/>
    <x v="8"/>
  </r>
  <r>
    <s v="TRN-9102"/>
    <s v="CUST-1081"/>
    <s v="STO-02"/>
    <s v="EMP-0201"/>
    <s v="PROMO-00"/>
    <s v="Cash"/>
    <n v="198"/>
    <s v="2025-09-09"/>
    <n v="9"/>
    <s v="Navratri"/>
    <s v="Promoted"/>
    <s v="Known Employee"/>
    <n v="4"/>
    <x v="8"/>
  </r>
  <r>
    <s v="TRN-9998"/>
    <s v="CUST-1196"/>
    <s v="STO-01"/>
    <s v="Unknown"/>
    <s v="No Promotion"/>
    <s v="Debit Card"/>
    <n v="165.75"/>
    <s v="2025-09-09"/>
    <n v="9"/>
    <s v="Navratri"/>
    <s v="Not Promoted"/>
    <s v="UnKnown Employee"/>
    <n v="5"/>
    <x v="8"/>
  </r>
  <r>
    <s v="TRN-9919"/>
    <s v="CUST-1190"/>
    <s v="STO-01"/>
    <s v="EMP-0102"/>
    <s v="PROMO-00"/>
    <s v="Mobile Payment"/>
    <n v="116"/>
    <s v="2025-09-11"/>
    <n v="9"/>
    <s v="Navratri"/>
    <s v="Promoted"/>
    <s v="Known Employee"/>
    <n v="6"/>
    <x v="8"/>
  </r>
  <r>
    <s v="TRN-9748"/>
    <s v="CUST-1040"/>
    <s v="STO-01"/>
    <s v="EMP-0102"/>
    <s v="PROMO-00"/>
    <s v="Debit Card"/>
    <n v="239"/>
    <s v="2025-09-13"/>
    <n v="9"/>
    <s v="Navratri"/>
    <s v="Promoted"/>
    <s v="Known Employee"/>
    <n v="5"/>
    <x v="8"/>
  </r>
  <r>
    <s v="TRN-9390"/>
    <s v="CUST-1094"/>
    <s v="STO-02"/>
    <s v="EMP-0204"/>
    <s v="PROMO-02"/>
    <s v="Mobile Payment"/>
    <n v="633.6"/>
    <s v="2025-09-14"/>
    <n v="9"/>
    <s v="Navratri"/>
    <s v="Promoted"/>
    <s v="Known Employee"/>
    <n v="5"/>
    <x v="8"/>
  </r>
  <r>
    <s v="TRN-9977"/>
    <s v="CUST-1102"/>
    <s v="STO-04"/>
    <s v="EMP-0404"/>
    <s v="PROMO-00"/>
    <s v="Cash"/>
    <n v="700"/>
    <s v="2025-09-14"/>
    <n v="9"/>
    <s v="Navratri"/>
    <s v="Promoted"/>
    <s v="Known Employee"/>
    <n v="5"/>
    <x v="8"/>
  </r>
  <r>
    <s v="TRN-9493"/>
    <s v="CUST-1001"/>
    <s v="STO-04"/>
    <s v="EMP-0405"/>
    <s v="PROMO-00"/>
    <s v="Mobile Payment"/>
    <n v="95"/>
    <s v="2025-09-18"/>
    <n v="9"/>
    <s v="Navratri"/>
    <s v="Promoted"/>
    <s v="Known Employee"/>
    <n v="5"/>
    <x v="8"/>
  </r>
  <r>
    <s v="TRN-9895"/>
    <s v="CUST-1167"/>
    <s v="STO-04"/>
    <s v="EMP-0405"/>
    <s v="PROMO-02"/>
    <s v="Cash"/>
    <n v="378.9"/>
    <s v="2025-09-19"/>
    <n v="9"/>
    <s v="Navratri"/>
    <s v="Promoted"/>
    <s v="Known Employee"/>
    <n v="2"/>
    <x v="8"/>
  </r>
  <r>
    <s v="TRN-9469"/>
    <s v="CUST-1109"/>
    <s v="STO-01"/>
    <s v="EMP-0102"/>
    <s v="PROMO-00"/>
    <s v="Debit Card"/>
    <n v="340"/>
    <s v="2025-09-20"/>
    <n v="9"/>
    <s v="Navratri"/>
    <s v="Promoted"/>
    <s v="Known Employee"/>
    <n v="5"/>
    <x v="8"/>
  </r>
  <r>
    <s v="TRN-9216"/>
    <s v=" CUST-1020 "/>
    <s v="STO-03"/>
    <s v="EMP-0302"/>
    <s v="PROMO-03"/>
    <s v="Cash"/>
    <n v="546.25"/>
    <s v="2025-09-21"/>
    <n v="9"/>
    <s v="Navratri"/>
    <s v="Promoted"/>
    <s v="Known Employee"/>
    <n v="2"/>
    <x v="8"/>
  </r>
  <r>
    <s v="TRN-9036"/>
    <s v="CUST-1042"/>
    <s v="STO-02"/>
    <s v="EMP-0205"/>
    <s v="PROMO-00"/>
    <s v="Debit Card"/>
    <n v="318"/>
    <s v="2025-09-23"/>
    <n v="9"/>
    <s v="Navratri"/>
    <s v="Promoted"/>
    <s v="Known Employee"/>
    <n v="7"/>
    <x v="8"/>
  </r>
  <r>
    <s v="TRN-9642"/>
    <s v="CUST-1050"/>
    <s v="STO-03"/>
    <s v="Unknown"/>
    <s v="PROMO-03"/>
    <s v="Credit Card"/>
    <n v="47.5"/>
    <s v="2025-09-24"/>
    <n v="9"/>
    <s v="Navratri"/>
    <s v="Promoted"/>
    <s v="UnKnown Employee"/>
    <n v="6"/>
    <x v="8"/>
  </r>
  <r>
    <s v="TRN-9991"/>
    <s v="CUST-1041"/>
    <s v="STO-04"/>
    <s v="EMP-0403"/>
    <s v="PROMO-00"/>
    <s v="Mobile Payment"/>
    <n v="140"/>
    <s v="2025-09-28"/>
    <n v="9"/>
    <s v="Navratri"/>
    <s v="Promoted"/>
    <s v="Known Employee"/>
    <n v="2"/>
    <x v="8"/>
  </r>
  <r>
    <s v="TRN-9326"/>
    <s v="CUST-1162"/>
    <s v="STO-03"/>
    <s v="EMP-0304"/>
    <s v="PROMO-00"/>
    <s v="Credit Card"/>
    <n v="60"/>
    <s v="2025-09-28"/>
    <n v="9"/>
    <s v="Navratri"/>
    <s v="Promoted"/>
    <s v="Known Employee"/>
    <n v="4"/>
    <x v="8"/>
  </r>
  <r>
    <s v="TRN-9589"/>
    <s v="CUST-1092"/>
    <s v="STO-03"/>
    <s v="EMP-0302"/>
    <s v="PROMO-00"/>
    <s v="Credit Card"/>
    <n v="204"/>
    <s v="2025-09-29"/>
    <n v="9"/>
    <s v="Navratri"/>
    <s v="Promoted"/>
    <s v="Known Employee"/>
    <n v="3"/>
    <x v="8"/>
  </r>
  <r>
    <s v="TRN-9982"/>
    <s v="CUST-1047"/>
    <s v="STO-04"/>
    <s v="EMP-0403"/>
    <s v="PROMO-00"/>
    <s v="Credit Card"/>
    <n v="100"/>
    <s v="2025-10-02"/>
    <n v="10"/>
    <s v="Diwali"/>
    <s v="Promoted"/>
    <s v="Known Employee"/>
    <n v="5"/>
    <x v="9"/>
  </r>
  <r>
    <s v="TRN-9723"/>
    <s v="CUST-1137"/>
    <s v="STO-03"/>
    <s v="EMP-0304"/>
    <s v="PROMO-00"/>
    <s v="Debit Card"/>
    <n v="360"/>
    <s v="2025-10-03"/>
    <n v="10"/>
    <s v="Diwali"/>
    <s v="Promoted"/>
    <s v="Known Employee"/>
    <n v="4"/>
    <x v="9"/>
  </r>
  <r>
    <s v="TRN-9201"/>
    <s v="CUST-1195"/>
    <s v="STO-01"/>
    <s v="EMP-0101"/>
    <s v="No Promotion"/>
    <s v="Cash"/>
    <n v="389.7"/>
    <s v="2025-10-03"/>
    <n v="10"/>
    <s v="Diwali"/>
    <s v="Not Promoted"/>
    <s v="Known Employee"/>
    <n v="4"/>
    <x v="9"/>
  </r>
  <r>
    <s v="TRN-9430"/>
    <s v="CUST-1105"/>
    <s v="STO-02"/>
    <s v="EMP-0203"/>
    <s v="No Promotion"/>
    <s v="Cash"/>
    <n v="165"/>
    <s v="2025-10-05"/>
    <n v="10"/>
    <s v="Diwali"/>
    <s v="Not Promoted"/>
    <s v="Known Employee"/>
    <n v="3"/>
    <x v="9"/>
  </r>
  <r>
    <s v="TRN-9406"/>
    <s v="CUST-1153"/>
    <s v="STO-02"/>
    <s v="EMP-0205"/>
    <s v="PROMO-01"/>
    <s v="Mobile Payment"/>
    <n v="544.85"/>
    <s v="2025-10-05"/>
    <n v="10"/>
    <s v="Diwali"/>
    <s v="Promoted"/>
    <s v="Known Employee"/>
    <n v="7"/>
    <x v="9"/>
  </r>
  <r>
    <s v="TRN-9871"/>
    <s v="CUST-1013"/>
    <s v="STO-04"/>
    <s v="EMP-0404"/>
    <s v="PROMO-03"/>
    <s v="Credit Card"/>
    <n v="52.25"/>
    <s v="2025-10-06"/>
    <n v="10"/>
    <s v="Diwali"/>
    <s v="Promoted"/>
    <s v="Known Employee"/>
    <n v="6"/>
    <x v="9"/>
  </r>
  <r>
    <s v="TRN-9018"/>
    <s v="CUST-1175"/>
    <s v="STO-02"/>
    <s v="EMP-0204"/>
    <s v="PROMO-00"/>
    <s v="Credit Card"/>
    <n v="245"/>
    <s v="2025-10-07"/>
    <n v="10"/>
    <s v="Diwali"/>
    <s v="Promoted"/>
    <s v="Known Employee"/>
    <n v="5"/>
    <x v="9"/>
  </r>
  <r>
    <s v="TRN-9253"/>
    <s v="CUST-1131"/>
    <s v="STO-03"/>
    <s v="EMP-0302"/>
    <s v="PROMO-00"/>
    <s v="Debit Card"/>
    <n v="188"/>
    <s v="2025-10-08"/>
    <n v="10"/>
    <s v="Diwali"/>
    <s v="Promoted"/>
    <s v="Known Employee"/>
    <n v="7"/>
    <x v="9"/>
  </r>
  <r>
    <s v="TRN-9189"/>
    <s v="CUST-1096"/>
    <s v="STO-03"/>
    <s v="EMP-0302"/>
    <s v="PROMO-03"/>
    <s v="Mobile Payment"/>
    <n v="392.35"/>
    <s v="2025-10-15"/>
    <n v="10"/>
    <s v="Diwali"/>
    <s v="Promoted"/>
    <s v="Known Employee"/>
    <n v="5"/>
    <x v="9"/>
  </r>
  <r>
    <s v="TRN-9615"/>
    <s v="CUST-1065"/>
    <s v="STO-03"/>
    <s v="EMP-0303"/>
    <s v="PROMO-00"/>
    <s v="Cash"/>
    <n v="50"/>
    <s v="2025-10-16"/>
    <n v="10"/>
    <s v="Diwali"/>
    <s v="Promoted"/>
    <s v="Known Employee"/>
    <n v="9"/>
    <x v="9"/>
  </r>
  <r>
    <s v="TRN-9749"/>
    <s v="CUST-1153"/>
    <s v="STO-02"/>
    <s v="EMP-0204"/>
    <s v="PROMO-00"/>
    <s v="Debit Card"/>
    <n v="630"/>
    <s v="2025-10-17"/>
    <n v="10"/>
    <s v="Diwali"/>
    <s v="Promoted"/>
    <s v="Known Employee"/>
    <n v="7"/>
    <x v="9"/>
  </r>
  <r>
    <s v="TRN-9847"/>
    <s v="CUST-1028"/>
    <s v="STO-01"/>
    <s v="EMP-0102"/>
    <s v="PROMO-00"/>
    <s v="Cash"/>
    <n v="617"/>
    <s v="2025-10-21"/>
    <n v="10"/>
    <s v="Diwali"/>
    <s v="Promoted"/>
    <s v="Known Employee"/>
    <n v="4"/>
    <x v="9"/>
  </r>
  <r>
    <s v="TRN-9100"/>
    <s v="CUST-1178"/>
    <s v=" STO-02 "/>
    <s v="EMP-0203"/>
    <s v="No Promotion"/>
    <s v="Credit Card"/>
    <n v="188"/>
    <s v="2025-10-22"/>
    <n v="10"/>
    <s v="Diwali"/>
    <s v="Not Promoted"/>
    <s v="Known Employee"/>
    <n v="7"/>
    <x v="9"/>
  </r>
  <r>
    <s v="TRN-9843"/>
    <s v="CUST-1053"/>
    <s v="STO-04"/>
    <s v="EMP-0401"/>
    <s v="PROMO-01"/>
    <s v="Credit Card"/>
    <n v="451.35"/>
    <s v="2025-10-24"/>
    <n v="10"/>
    <s v="Diwali"/>
    <s v="Promoted"/>
    <s v="Known Employee"/>
    <n v="5"/>
    <x v="9"/>
  </r>
  <r>
    <s v="TRN-9304"/>
    <s v="CUST-1135"/>
    <s v="STO-01"/>
    <s v="EMP-0104"/>
    <s v="PROMO-03"/>
    <s v="Debit Card"/>
    <n v="432.25"/>
    <s v="2025-10-29"/>
    <n v="10"/>
    <s v="Diwali"/>
    <s v="Promoted"/>
    <s v="Known Employee"/>
    <n v="4"/>
    <x v="9"/>
  </r>
  <r>
    <s v="TRN-9277"/>
    <s v="CUST-1023"/>
    <s v="STO-04"/>
    <s v="EMP-0402"/>
    <s v=" PROMO-00 "/>
    <s v="Unknown"/>
    <n v="143"/>
    <s v="2025-10-30"/>
    <n v="10"/>
    <s v="Diwali"/>
    <s v="Promoted"/>
    <s v="Known Employee"/>
    <n v="3"/>
    <x v="9"/>
  </r>
  <r>
    <s v="TRN-9629"/>
    <s v="CUST-1162"/>
    <s v=" STO-02 "/>
    <s v="EMP-0204"/>
    <s v="PROMO-00"/>
    <s v="Cash"/>
    <n v="430"/>
    <s v="2025-10-30"/>
    <n v="10"/>
    <s v="Diwali"/>
    <s v="Promoted"/>
    <s v="Known Employee"/>
    <n v="4"/>
    <x v="9"/>
  </r>
  <r>
    <s v="TRN-9415"/>
    <s v="CUST-1159"/>
    <s v="STO-01"/>
    <s v="EMP-0101"/>
    <s v="PROMO-01"/>
    <s v=" Credit Card "/>
    <n v="170"/>
    <s v="2025-10-31"/>
    <n v="10"/>
    <s v="Diwali"/>
    <s v="Promoted"/>
    <s v="Known Employee"/>
    <n v="6"/>
    <x v="9"/>
  </r>
  <r>
    <s v="TRN-9668"/>
    <s v="CUST-1049"/>
    <s v="STO-02"/>
    <s v="EMP-0201"/>
    <s v="PROMO-00"/>
    <s v="Debit Card"/>
    <n v="444"/>
    <s v="2025-11-01"/>
    <n v="11"/>
    <s v="Diwali"/>
    <s v="Promoted"/>
    <s v="Known Employee"/>
    <n v="4"/>
    <x v="10"/>
  </r>
  <r>
    <s v="TRN-9661"/>
    <s v="CUST-1055"/>
    <s v="STO-04"/>
    <s v="EMP-0405"/>
    <s v="PROMO-03"/>
    <s v="Credit Card"/>
    <n v="270.75"/>
    <s v="2025-11-02"/>
    <n v="11"/>
    <s v="Diwali"/>
    <s v="Promoted"/>
    <s v="Known Employee"/>
    <n v="1"/>
    <x v="10"/>
  </r>
  <r>
    <s v="TRN-9275"/>
    <s v="CUST-1098"/>
    <s v=" STO-03 "/>
    <s v="EMP-0302"/>
    <s v="PROMO-00"/>
    <s v="Credit Card"/>
    <n v="293"/>
    <s v="2025-11-02"/>
    <n v="11"/>
    <s v="Diwali"/>
    <s v="Promoted"/>
    <s v="Known Employee"/>
    <n v="4"/>
    <x v="10"/>
  </r>
  <r>
    <s v="TRN-9356"/>
    <s v="CUST-1039"/>
    <s v="STO-02"/>
    <s v="EMP-0205"/>
    <s v="PROMO-00"/>
    <s v="Cash"/>
    <n v="170"/>
    <s v="2025-11-03"/>
    <n v="11"/>
    <s v="Diwali"/>
    <s v="Promoted"/>
    <s v="Known Employee"/>
    <n v="4"/>
    <x v="10"/>
  </r>
  <r>
    <s v="TRN-9002"/>
    <s v="CUST-1069"/>
    <s v="STO-01"/>
    <s v="EMP-0102"/>
    <s v="PROMO-00"/>
    <s v="Cash"/>
    <n v="501"/>
    <s v="2025-11-05"/>
    <n v="11"/>
    <s v="Diwali"/>
    <s v="Promoted"/>
    <s v="Known Employee"/>
    <n v="4"/>
    <x v="10"/>
  </r>
  <r>
    <s v="TRN-9280"/>
    <s v="CUST-1114"/>
    <s v="STO-01"/>
    <s v="EMP-0104"/>
    <s v="PROMO-00"/>
    <s v="Mobile Payment"/>
    <n v="440"/>
    <s v="2025-11-06"/>
    <n v="11"/>
    <s v="Diwali"/>
    <s v="Promoted"/>
    <s v="Known Employee"/>
    <n v="4"/>
    <x v="10"/>
  </r>
  <r>
    <s v="TRN-9210"/>
    <s v="CUST-1130"/>
    <s v="STO-03"/>
    <s v="EMP-0305"/>
    <s v="PROMO-00"/>
    <s v="Debit Card"/>
    <n v="589"/>
    <s v="2025-11-07"/>
    <n v="11"/>
    <s v="Diwali"/>
    <s v="Promoted"/>
    <s v="Known Employee"/>
    <n v="3"/>
    <x v="10"/>
  </r>
  <r>
    <s v="TRN-9471"/>
    <s v="CUST-1112"/>
    <s v="STO-02"/>
    <s v="Unknown"/>
    <s v="PROMO-03"/>
    <s v="Mobile Payment"/>
    <n v="104.5"/>
    <s v="2025-11-10"/>
    <n v="11"/>
    <s v="Diwali"/>
    <s v="Promoted"/>
    <s v="UnKnown Employee"/>
    <n v="4"/>
    <x v="10"/>
  </r>
  <r>
    <s v="TRN-9317"/>
    <s v="CUST-1173"/>
    <s v="STO-04"/>
    <s v="EMP-0402"/>
    <s v="PROMO-00"/>
    <s v="Debit Card"/>
    <n v="317"/>
    <s v="2025-11-12"/>
    <n v="11"/>
    <s v="Diwali"/>
    <s v="Promoted"/>
    <s v="Known Employee"/>
    <n v="4"/>
    <x v="10"/>
  </r>
  <r>
    <s v="TRN-9819"/>
    <s v="CUST-1142"/>
    <s v="STO-01"/>
    <s v="EMP-0103"/>
    <s v="PROMO-00"/>
    <s v="Credit Card"/>
    <n v="355"/>
    <s v="2025-11-13"/>
    <n v="11"/>
    <s v="Diwali"/>
    <s v="Promoted"/>
    <s v="Known Employee"/>
    <n v="4"/>
    <x v="10"/>
  </r>
  <r>
    <s v="TRN-9560"/>
    <s v="CUST-1026"/>
    <s v="STO-04"/>
    <s v="EMP-0402"/>
    <s v="PROMO-00"/>
    <s v="Mobile Payment"/>
    <n v="535"/>
    <s v="2025-11-17"/>
    <n v="11"/>
    <s v="Diwali"/>
    <s v="Promoted"/>
    <s v="Known Employee"/>
    <n v="4"/>
    <x v="10"/>
  </r>
  <r>
    <s v="TRN-9422"/>
    <s v="CUST-1187"/>
    <s v="STO-02"/>
    <s v="EMP-0204"/>
    <s v="PROMO-03"/>
    <s v="Credit Card"/>
    <n v="266"/>
    <s v="2025-11-20"/>
    <n v="11"/>
    <s v="Diwali"/>
    <s v="Promoted"/>
    <s v="Known Employee"/>
    <n v="4"/>
    <x v="10"/>
  </r>
  <r>
    <s v="TRN-9211"/>
    <s v="CUST-1148"/>
    <s v="STO-03"/>
    <s v="EMP-0305"/>
    <s v="PROMO-00"/>
    <s v="Credit Card"/>
    <n v="240"/>
    <s v="2025-11-21"/>
    <n v="11"/>
    <s v="Diwali"/>
    <s v="Promoted"/>
    <s v="Known Employee"/>
    <n v="4"/>
    <x v="10"/>
  </r>
  <r>
    <s v="TRN-9532"/>
    <s v="CUST-1187"/>
    <s v="STO-02"/>
    <s v="EMP-0203"/>
    <s v="PROMO-00"/>
    <s v="Credit Card"/>
    <n v="660"/>
    <s v="2025-11-21"/>
    <n v="11"/>
    <s v="Diwali"/>
    <s v="Promoted"/>
    <s v="Known Employee"/>
    <n v="4"/>
    <x v="10"/>
  </r>
  <r>
    <s v="TRN-9868"/>
    <s v="CUST-1016"/>
    <s v="STO-01"/>
    <s v="EMP-0104"/>
    <s v="PROMO-01"/>
    <s v="Credit Card"/>
    <n v="472.6"/>
    <s v="2025-11-24"/>
    <n v="11"/>
    <s v="Diwali"/>
    <s v="Promoted"/>
    <s v="Known Employee"/>
    <n v="6"/>
    <x v="10"/>
  </r>
  <r>
    <s v="TRN-9617"/>
    <s v="CUST-1097"/>
    <s v="STO-04"/>
    <s v="EMP-0405"/>
    <s v="PROMO-00"/>
    <s v="Cash"/>
    <n v="513"/>
    <s v="2025-11-27"/>
    <n v="11"/>
    <s v="Diwali"/>
    <s v="Promoted"/>
    <s v="Known Employee"/>
    <n v="5"/>
    <x v="10"/>
  </r>
  <r>
    <s v="TRN-9720"/>
    <s v="CUST-1131"/>
    <s v="STO-03"/>
    <s v="EMP-0303"/>
    <s v="No Promotion"/>
    <s v="Unknown"/>
    <n v="499"/>
    <s v="2025-11-29"/>
    <n v="11"/>
    <s v="Diwali"/>
    <s v="Not Promoted"/>
    <s v="Known Employee"/>
    <n v="7"/>
    <x v="10"/>
  </r>
  <r>
    <s v="TRN-9290"/>
    <s v=" CUST-1171 "/>
    <s v="STO-03"/>
    <s v="EMP-0305"/>
    <s v="PROMO-00"/>
    <s v="Debit Card"/>
    <n v="455"/>
    <s v="2025-11-30"/>
    <n v="11"/>
    <s v="Diwali"/>
    <s v="Promoted"/>
    <s v="Known Employee"/>
    <n v="1"/>
    <x v="10"/>
  </r>
  <r>
    <s v="TRN-9833"/>
    <s v="CUST-1097"/>
    <s v="STO-02"/>
    <s v="EMP-0204"/>
    <s v="PROMO-02"/>
    <s v="Unknown"/>
    <n v="45"/>
    <s v="2025-11-30"/>
    <n v="11"/>
    <s v="Diwali"/>
    <s v="Promoted"/>
    <s v="Known Employee"/>
    <n v="5"/>
    <x v="10"/>
  </r>
  <r>
    <s v="TRN-9865"/>
    <s v="CUST-1192"/>
    <s v="STO-02"/>
    <s v="Unknown"/>
    <s v="PROMO-02"/>
    <s v="Debit Card"/>
    <n v="225"/>
    <s v="2025-12-01"/>
    <n v="12"/>
    <s v="Regular"/>
    <s v="Promoted"/>
    <s v="UnKnown Employee"/>
    <n v="5"/>
    <x v="11"/>
  </r>
  <r>
    <s v="TRN-9842"/>
    <s v="CUST-1105"/>
    <s v="STO-04"/>
    <s v="EMP-0405"/>
    <s v="PROMO-00"/>
    <s v="Credit Card"/>
    <n v="441"/>
    <s v="2025-12-02"/>
    <n v="12"/>
    <s v="Regular"/>
    <s v="Promoted"/>
    <s v="Known Employee"/>
    <n v="3"/>
    <x v="11"/>
  </r>
  <r>
    <s v="TRN-9367"/>
    <s v="CUST-1016"/>
    <s v="STO-03"/>
    <s v="EMP-0301"/>
    <s v="PROMO-00"/>
    <s v=" Mobile Payment "/>
    <n v="60"/>
    <s v="2025-12-05"/>
    <n v="12"/>
    <s v="Regular"/>
    <s v="Promoted"/>
    <s v="Known Employee"/>
    <n v="6"/>
    <x v="11"/>
  </r>
  <r>
    <s v="TRN-9534"/>
    <s v="CUST-1159"/>
    <s v="STO-03"/>
    <s v="EMP-0302"/>
    <s v="PROMO-00"/>
    <s v="Mobile Payment"/>
    <n v="348"/>
    <s v="2025-12-06"/>
    <n v="12"/>
    <s v="Regular"/>
    <s v="Promoted"/>
    <s v="Known Employee"/>
    <n v="6"/>
    <x v="11"/>
  </r>
  <r>
    <s v="TRN-9051"/>
    <s v=" CUST-1038 "/>
    <s v="STO-03"/>
    <s v="EMP-0302"/>
    <s v="PROMO-00"/>
    <s v="Cash"/>
    <n v="579"/>
    <s v="2025-12-10"/>
    <n v="12"/>
    <s v="Regular"/>
    <s v="Promoted"/>
    <s v="Known Employee"/>
    <n v="2"/>
    <x v="11"/>
  </r>
  <r>
    <s v="TRN-9943"/>
    <s v=" CUST-1181 "/>
    <s v="STO-01"/>
    <s v="EMP-0102"/>
    <s v="PROMO-03"/>
    <s v="Debit Card"/>
    <n v="285"/>
    <s v="2025-12-12"/>
    <n v="12"/>
    <s v="Regular"/>
    <s v="Promoted"/>
    <s v="Known Employee"/>
    <n v="1"/>
    <x v="11"/>
  </r>
  <r>
    <s v="TRN-9678"/>
    <s v="CUST-1002"/>
    <s v="STO-01"/>
    <s v="EMP-0105"/>
    <s v="PROMO-02"/>
    <s v="Debit Card"/>
    <n v="594.9"/>
    <s v="2025-12-15"/>
    <n v="12"/>
    <s v="Regular"/>
    <s v="Promoted"/>
    <s v="Known Employee"/>
    <n v="5"/>
    <x v="11"/>
  </r>
  <r>
    <s v="TRN-9928"/>
    <s v="CUST-1017"/>
    <s v="STO-04"/>
    <s v="EMP-0403"/>
    <s v="PROMO-00"/>
    <s v="Debit Card"/>
    <n v="165"/>
    <s v="2025-12-15"/>
    <n v="12"/>
    <s v="Regular"/>
    <s v="Promoted"/>
    <s v="Known Employee"/>
    <n v="6"/>
    <x v="11"/>
  </r>
  <r>
    <s v=" TRN-9729 "/>
    <s v="CUST-1139"/>
    <s v="STO-01"/>
    <s v="EMP-0104"/>
    <s v="PROMO-00"/>
    <s v="Mobile Payment"/>
    <n v="285"/>
    <s v="2025-12-16"/>
    <n v="12"/>
    <s v="Regular"/>
    <s v="Promoted"/>
    <s v="Known Employee"/>
    <n v="3"/>
    <x v="11"/>
  </r>
  <r>
    <s v="TRN-9172"/>
    <s v="CUST-1151"/>
    <s v=" STO-03 "/>
    <s v="EMP-0303"/>
    <s v="PROMO-00"/>
    <s v="Credit Card"/>
    <n v="699"/>
    <s v="2025-12-16"/>
    <n v="12"/>
    <s v="Regular"/>
    <s v="Promoted"/>
    <s v="Known Employee"/>
    <n v="4"/>
    <x v="11"/>
  </r>
  <r>
    <s v="TRN-9138"/>
    <s v="CUST-1160"/>
    <s v="STO-04"/>
    <s v="EMP-0402"/>
    <s v="PROMO-01"/>
    <s v="Cash"/>
    <n v="195.5"/>
    <s v="2025-12-16"/>
    <n v="12"/>
    <s v="Regular"/>
    <s v="Promoted"/>
    <s v="Known Employee"/>
    <n v="5"/>
    <x v="11"/>
  </r>
  <r>
    <s v="TRN-9231"/>
    <s v="CUST-1191"/>
    <s v="STO-03"/>
    <s v="EMP-0302"/>
    <s v="PROMO-00"/>
    <s v="Cash"/>
    <n v="270"/>
    <s v="2025-12-19"/>
    <n v="12"/>
    <s v="Regular"/>
    <s v="Promoted"/>
    <s v="Known Employee"/>
    <n v="8"/>
    <x v="11"/>
  </r>
  <r>
    <s v="TRN-9721"/>
    <s v="CUST-1003"/>
    <s v="STO-03"/>
    <s v="EMP-0301"/>
    <s v="PROMO-00"/>
    <s v="Debit Card"/>
    <n v="741"/>
    <s v="2025-12-20"/>
    <n v="12"/>
    <s v="Regular"/>
    <s v="Promoted"/>
    <s v="Known Employee"/>
    <n v="6"/>
    <x v="11"/>
  </r>
  <r>
    <s v="TRN-9296"/>
    <s v="CUST-1044"/>
    <s v="STO-02"/>
    <s v="EMP-0204"/>
    <s v="PROMO-00"/>
    <s v="Debit Card"/>
    <n v="170"/>
    <s v="2025-12-21"/>
    <n v="12"/>
    <s v="Regular"/>
    <s v="Promoted"/>
    <s v="Known Employee"/>
    <n v="5"/>
    <x v="11"/>
  </r>
  <r>
    <s v="TRN-9148"/>
    <s v="CUST-1014"/>
    <s v="STO-02"/>
    <s v="EMP-0203"/>
    <s v="PROMO-01"/>
    <s v="Mobile Payment"/>
    <n v="247.35"/>
    <s v="2025-12-23"/>
    <n v="12"/>
    <s v="Regular"/>
    <s v="Promoted"/>
    <s v="Known Employee"/>
    <n v="5"/>
    <x v="11"/>
  </r>
  <r>
    <s v="TRN-9107"/>
    <s v="CUST-1035"/>
    <s v="STO-04"/>
    <s v="EMP-0404"/>
    <s v=" PROMO-02 "/>
    <s v="Debit Card"/>
    <n v="256.5"/>
    <s v="2025-12-23"/>
    <n v="12"/>
    <s v="Regular"/>
    <s v="Promoted"/>
    <s v="Known Employee"/>
    <n v="2"/>
    <x v="11"/>
  </r>
  <r>
    <s v="TRN-9025"/>
    <s v="CUST-1054"/>
    <s v="STO-02"/>
    <s v="Unknown"/>
    <s v="PROMO-00"/>
    <s v="Unknown"/>
    <n v="620"/>
    <s v="2025-12-23"/>
    <n v="12"/>
    <s v="Regular"/>
    <s v="Promoted"/>
    <s v="UnKnown Employee"/>
    <n v="4"/>
    <x v="11"/>
  </r>
  <r>
    <s v="TRN-9040"/>
    <s v="CUST-1135"/>
    <s v="STO-03"/>
    <s v="EMP-0303"/>
    <s v="PROMO-00"/>
    <s v="Cash"/>
    <n v="195"/>
    <s v="2025-12-26"/>
    <n v="12"/>
    <s v="Regular"/>
    <s v="Promoted"/>
    <s v="Known Employee"/>
    <n v="4"/>
    <x v="11"/>
  </r>
  <r>
    <s v="TRN-9127"/>
    <s v="CUST-1092"/>
    <s v="STO-04"/>
    <s v="EMP-0401"/>
    <s v="PROMO-02"/>
    <s v="Debit Card"/>
    <n v="301.5"/>
    <s v="2025-12-28"/>
    <n v="12"/>
    <s v="Regular"/>
    <s v="Promoted"/>
    <s v="Known Employee"/>
    <n v="3"/>
    <x v="11"/>
  </r>
  <r>
    <s v="TRN-9662"/>
    <s v="CUST-1033"/>
    <s v="STO-03"/>
    <s v="EMP-0304"/>
    <s v="PROMO-00"/>
    <s v="Cash"/>
    <n v="320"/>
    <s v="2025-12-29"/>
    <n v="12"/>
    <s v="Regular"/>
    <s v="Promoted"/>
    <s v="Known Employee"/>
    <n v="3"/>
    <x v="11"/>
  </r>
  <r>
    <s v="TRN-9219"/>
    <s v=" CUST-1175 "/>
    <s v="STO-02"/>
    <s v="EMP-0203"/>
    <s v="PROMO-00"/>
    <s v="Mobile Payment"/>
    <n v="100"/>
    <s v="2026-01-01"/>
    <n v="1"/>
    <s v="Makar Sankranti"/>
    <s v="Promoted"/>
    <s v="Known Employee"/>
    <n v="1"/>
    <x v="0"/>
  </r>
  <r>
    <s v="TRN-9547"/>
    <s v="CUST-1170"/>
    <s v="STO-01"/>
    <s v="EMP-0101"/>
    <s v="PROMO-00"/>
    <s v="Credit Card"/>
    <n v="65"/>
    <s v="2026-01-01"/>
    <n v="1"/>
    <s v="Makar Sankranti"/>
    <s v="Promoted"/>
    <s v="Known Employee"/>
    <n v="3"/>
    <x v="0"/>
  </r>
  <r>
    <s v="TRN-9293"/>
    <s v="CUST-1109"/>
    <s v="STO-02"/>
    <s v="EMP-0201"/>
    <s v="PROMO-02"/>
    <s v="Cash"/>
    <n v="713.7"/>
    <s v="2026-01-02"/>
    <n v="1"/>
    <s v="Makar Sankranti"/>
    <s v="Promoted"/>
    <s v="Known Employee"/>
    <n v="5"/>
    <x v="0"/>
  </r>
  <r>
    <s v="TRN-9433"/>
    <s v="CUST-1117"/>
    <s v="STO-04"/>
    <s v="EMP-0403"/>
    <s v="PROMO-00"/>
    <s v="Credit Card"/>
    <n v="110"/>
    <s v="2026-01-07"/>
    <n v="1"/>
    <s v="Makar Sankranti"/>
    <s v="Promoted"/>
    <s v="Known Employee"/>
    <n v="5"/>
    <x v="0"/>
  </r>
  <r>
    <s v="TRN-9346"/>
    <s v="CUST-1082"/>
    <s v="STO-01"/>
    <s v="EMP-0101"/>
    <s v="PROMO-00"/>
    <s v="Cash"/>
    <n v="110"/>
    <s v="2026-01-14"/>
    <n v="1"/>
    <s v="Makar Sankranti"/>
    <s v="Promoted"/>
    <s v="Known Employee"/>
    <n v="5"/>
    <x v="0"/>
  </r>
  <r>
    <s v="TRN-9572"/>
    <s v="CUST-1022"/>
    <s v="STO-04"/>
    <s v="EMP-0405"/>
    <s v="PROMO-00"/>
    <s v="Cash"/>
    <n v="225"/>
    <s v="2026-01-16"/>
    <n v="1"/>
    <s v="Makar Sankranti"/>
    <s v="Promoted"/>
    <s v="Known Employee"/>
    <n v="7"/>
    <x v="0"/>
  </r>
  <r>
    <s v="TRN-9108"/>
    <s v="CUST-1129"/>
    <s v="STO-03"/>
    <s v="EMP-0305"/>
    <s v="No Promotion"/>
    <s v="Mobile Payment"/>
    <n v="485"/>
    <s v="2026-01-19"/>
    <n v="1"/>
    <s v="Makar Sankranti"/>
    <s v="Not Promoted"/>
    <s v="Known Employee"/>
    <n v="4"/>
    <x v="0"/>
  </r>
  <r>
    <s v=" TRN-9968 "/>
    <s v="CUST-1149"/>
    <s v="STO-01"/>
    <s v="EMP-0101"/>
    <s v="PROMO-00"/>
    <s v="Debit Card"/>
    <n v="590"/>
    <s v="2026-01-19"/>
    <n v="1"/>
    <s v="Makar Sankranti"/>
    <s v="Promoted"/>
    <s v="Known Employee"/>
    <n v="4"/>
    <x v="0"/>
  </r>
  <r>
    <s v="TRN-9506"/>
    <s v="CUST-1016"/>
    <s v="STO-03"/>
    <s v="EMP-0304"/>
    <s v="PROMO-03"/>
    <s v="Cash"/>
    <n v="137.75"/>
    <s v="2026-01-20"/>
    <n v="1"/>
    <s v="Makar Sankranti"/>
    <s v="Promoted"/>
    <s v="Known Employee"/>
    <n v="6"/>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s v="TRN-9983"/>
    <x v="0"/>
    <x v="0"/>
    <s v="EMP-0104"/>
    <s v="PROMO-00"/>
    <s v="Credit Card"/>
    <n v="313"/>
    <s v="2022-01-01"/>
    <x v="0"/>
    <x v="0"/>
    <x v="0"/>
    <s v="Known Employee"/>
    <n v="6"/>
  </r>
  <r>
    <s v="TRN-9846"/>
    <x v="0"/>
    <x v="1"/>
    <s v="EMP-0104"/>
    <s v="PROMO-03"/>
    <s v="Debit Card"/>
    <n v="547.20000000000005"/>
    <s v="2022-01-02"/>
    <x v="0"/>
    <x v="0"/>
    <x v="0"/>
    <s v="Known Employee"/>
    <n v="6"/>
  </r>
  <r>
    <s v="TRN-9751"/>
    <x v="1"/>
    <x v="0"/>
    <s v="EMP-0105"/>
    <s v="PROMO-00"/>
    <s v="Mobile Payment"/>
    <n v="310"/>
    <s v="2022-01-04"/>
    <x v="0"/>
    <x v="0"/>
    <x v="0"/>
    <s v="Known Employee"/>
    <n v="4"/>
  </r>
  <r>
    <s v="TRN-9332"/>
    <x v="2"/>
    <x v="2"/>
    <s v="EMP-0304"/>
    <s v="PROMO-01"/>
    <s v="Cash"/>
    <n v="93.5"/>
    <s v="2022-01-10"/>
    <x v="0"/>
    <x v="0"/>
    <x v="0"/>
    <s v="Known Employee"/>
    <n v="5"/>
  </r>
  <r>
    <s v="TRN-9437"/>
    <x v="3"/>
    <x v="1"/>
    <s v="EMP-0103"/>
    <s v="PROMO-01"/>
    <s v="Cash"/>
    <n v="458.15"/>
    <s v="2022-01-10"/>
    <x v="0"/>
    <x v="0"/>
    <x v="0"/>
    <s v="Known Employee"/>
    <n v="8"/>
  </r>
  <r>
    <s v="TRN-9571"/>
    <x v="4"/>
    <x v="1"/>
    <s v="EMP-0101"/>
    <s v="PROMO-00"/>
    <s v="Mobile Payment"/>
    <n v="435"/>
    <s v="2022-01-11"/>
    <x v="0"/>
    <x v="0"/>
    <x v="0"/>
    <s v="Known Employee"/>
    <n v="2"/>
  </r>
  <r>
    <s v="TRN-9061"/>
    <x v="5"/>
    <x v="3"/>
    <s v="EMP-0204"/>
    <s v="PROMO-02"/>
    <s v="Credit Card"/>
    <n v="288"/>
    <s v="2022-01-14"/>
    <x v="0"/>
    <x v="0"/>
    <x v="0"/>
    <s v="Known Employee"/>
    <n v="5"/>
  </r>
  <r>
    <s v="TRN-9027"/>
    <x v="6"/>
    <x v="4"/>
    <s v=" EMP-0402 "/>
    <s v="PROMO-02"/>
    <s v="Cash"/>
    <n v="156.6"/>
    <s v="2022-01-15"/>
    <x v="0"/>
    <x v="0"/>
    <x v="0"/>
    <s v="Known Employee"/>
    <n v="5"/>
  </r>
  <r>
    <s v="TRN-9587"/>
    <x v="7"/>
    <x v="0"/>
    <s v="EMP-0105"/>
    <s v="PROMO-00"/>
    <s v="Credit Card"/>
    <n v="412"/>
    <s v="2022-01-17"/>
    <x v="0"/>
    <x v="0"/>
    <x v="0"/>
    <s v="Known Employee"/>
    <n v="6"/>
  </r>
  <r>
    <s v="TRN-9795"/>
    <x v="8"/>
    <x v="2"/>
    <s v=" EMP-0302 "/>
    <s v="PROMO-00"/>
    <s v="Credit Card"/>
    <n v="775"/>
    <s v="2022-01-18"/>
    <x v="0"/>
    <x v="0"/>
    <x v="0"/>
    <s v="Known Employee"/>
    <n v="7"/>
  </r>
  <r>
    <s v="TRN-9495"/>
    <x v="9"/>
    <x v="4"/>
    <s v="EMP-0405"/>
    <s v="PROMO-00"/>
    <s v="Cash"/>
    <n v="170"/>
    <s v="2022-01-19"/>
    <x v="0"/>
    <x v="0"/>
    <x v="0"/>
    <s v="Known Employee"/>
    <n v="3"/>
  </r>
  <r>
    <s v="TRN-9169"/>
    <x v="10"/>
    <x v="1"/>
    <s v="EMP-0101"/>
    <s v="PROMO-00"/>
    <s v="Credit Card"/>
    <n v="110"/>
    <s v="2022-01-24"/>
    <x v="0"/>
    <x v="0"/>
    <x v="0"/>
    <s v="Known Employee"/>
    <n v="3"/>
  </r>
  <r>
    <s v="TRN-9548"/>
    <x v="11"/>
    <x v="4"/>
    <s v="EMP-0402"/>
    <s v="PROMO-00"/>
    <s v="Mobile Payment"/>
    <n v="280"/>
    <s v="2022-01-25"/>
    <x v="0"/>
    <x v="0"/>
    <x v="0"/>
    <s v="Known Employee"/>
    <n v="8"/>
  </r>
  <r>
    <s v="TRN-9069"/>
    <x v="12"/>
    <x v="4"/>
    <s v="EMP-0401"/>
    <s v="PROMO-00"/>
    <s v="Debit Card"/>
    <n v="641"/>
    <s v="2022-01-26"/>
    <x v="0"/>
    <x v="0"/>
    <x v="0"/>
    <s v="Known Employee"/>
    <n v="8"/>
  </r>
  <r>
    <s v="TRN-9924"/>
    <x v="13"/>
    <x v="4"/>
    <s v="EMP-0403"/>
    <s v="PROMO-00"/>
    <s v="Debit Card"/>
    <n v="60"/>
    <s v="2022-01-30"/>
    <x v="0"/>
    <x v="0"/>
    <x v="0"/>
    <s v="Known Employee"/>
    <n v="4"/>
  </r>
  <r>
    <s v="TRN-9118"/>
    <x v="14"/>
    <x v="3"/>
    <s v="EMP-0205"/>
    <s v="PROMO-00"/>
    <s v="Debit Card"/>
    <n v="520"/>
    <s v="2022-02-01"/>
    <x v="1"/>
    <x v="1"/>
    <x v="0"/>
    <s v="Known Employee"/>
    <n v="6"/>
  </r>
  <r>
    <s v="TRN-9850"/>
    <x v="15"/>
    <x v="4"/>
    <s v="EMP-0404"/>
    <s v=" PROMO-01 "/>
    <s v="Cash"/>
    <n v="165.75"/>
    <s v="2022-02-03"/>
    <x v="1"/>
    <x v="1"/>
    <x v="0"/>
    <s v="Known Employee"/>
    <n v="7"/>
  </r>
  <r>
    <s v="TRN-9886"/>
    <x v="16"/>
    <x v="1"/>
    <s v="EMP-0102"/>
    <s v="PROMO-00"/>
    <s v="Debit Card"/>
    <n v="455"/>
    <s v="2022-02-07"/>
    <x v="1"/>
    <x v="1"/>
    <x v="0"/>
    <s v="Known Employee"/>
    <n v="4"/>
  </r>
  <r>
    <s v="TRN-9371"/>
    <x v="17"/>
    <x v="1"/>
    <s v="EMP-0105"/>
    <s v="PROMO-00"/>
    <s v="Cash"/>
    <n v="450"/>
    <s v="2022-02-17"/>
    <x v="1"/>
    <x v="1"/>
    <x v="0"/>
    <s v="Known Employee"/>
    <n v="6"/>
  </r>
  <r>
    <s v="TRN-9291"/>
    <x v="18"/>
    <x v="4"/>
    <s v="EMP-0404"/>
    <s v="PROMO-00"/>
    <s v="Cash"/>
    <n v="325"/>
    <s v="2022-02-19"/>
    <x v="1"/>
    <x v="1"/>
    <x v="0"/>
    <s v="Known Employee"/>
    <n v="5"/>
  </r>
  <r>
    <s v="TRN-9087"/>
    <x v="19"/>
    <x v="1"/>
    <s v="EMP-0101"/>
    <s v="PROMO-02"/>
    <s v="Debit Card"/>
    <n v="376.2"/>
    <s v="2022-02-22"/>
    <x v="1"/>
    <x v="1"/>
    <x v="0"/>
    <s v="Known Employee"/>
    <n v="6"/>
  </r>
  <r>
    <s v="TRN-9702"/>
    <x v="20"/>
    <x v="4"/>
    <s v="Unknown"/>
    <s v="PROMO-00"/>
    <s v="Debit Card"/>
    <n v="644"/>
    <s v="2022-02-23"/>
    <x v="1"/>
    <x v="1"/>
    <x v="0"/>
    <s v="UnKnown Employee"/>
    <n v="7"/>
  </r>
  <r>
    <s v="TRN-9005"/>
    <x v="21"/>
    <x v="4"/>
    <s v="EMP-0401"/>
    <s v="PROMO-00"/>
    <s v="Cash"/>
    <n v="364"/>
    <s v="2022-02-24"/>
    <x v="1"/>
    <x v="1"/>
    <x v="0"/>
    <s v="Known Employee"/>
    <n v="4"/>
  </r>
  <r>
    <s v="TRN-9710"/>
    <x v="22"/>
    <x v="4"/>
    <s v="EMP-0401"/>
    <s v="PROMO-00"/>
    <s v="Credit Card"/>
    <n v="443"/>
    <s v="2022-02-25"/>
    <x v="1"/>
    <x v="1"/>
    <x v="0"/>
    <s v="Known Employee"/>
    <n v="3"/>
  </r>
  <r>
    <s v="TRN-9781"/>
    <x v="23"/>
    <x v="2"/>
    <s v=" EMP-0301 "/>
    <s v="PROMO-00"/>
    <s v="Mobile Payment"/>
    <n v="505"/>
    <s v="2022-02-26"/>
    <x v="1"/>
    <x v="1"/>
    <x v="0"/>
    <s v="Known Employee"/>
    <n v="4"/>
  </r>
  <r>
    <s v="TRN-9526"/>
    <x v="7"/>
    <x v="3"/>
    <s v="EMP-0204"/>
    <s v="PROMO-00"/>
    <s v="Cash"/>
    <n v="320"/>
    <s v="2022-02-27"/>
    <x v="1"/>
    <x v="1"/>
    <x v="0"/>
    <s v="Known Employee"/>
    <n v="6"/>
  </r>
  <r>
    <s v="TRN-9112"/>
    <x v="24"/>
    <x v="4"/>
    <s v="EMP-0403"/>
    <s v="PROMO-02"/>
    <s v="Cash"/>
    <n v="593.1"/>
    <s v="2022-02-28"/>
    <x v="1"/>
    <x v="1"/>
    <x v="0"/>
    <s v="Known Employee"/>
    <n v="8"/>
  </r>
  <r>
    <s v="TRN-9014"/>
    <x v="25"/>
    <x v="1"/>
    <s v="EMP-0105"/>
    <s v="PROMO-00"/>
    <s v="Cash"/>
    <n v="259"/>
    <s v="2022-02-28"/>
    <x v="1"/>
    <x v="1"/>
    <x v="0"/>
    <s v="Known Employee"/>
    <n v="4"/>
  </r>
  <r>
    <s v="TRN-9139"/>
    <x v="26"/>
    <x v="1"/>
    <s v="EMP-0101"/>
    <s v="PROMO-03"/>
    <s v="Mobile Payment"/>
    <n v="171"/>
    <s v="2022-03-05"/>
    <x v="2"/>
    <x v="2"/>
    <x v="0"/>
    <s v="Known Employee"/>
    <n v="1"/>
  </r>
  <r>
    <s v="TRN-9925"/>
    <x v="27"/>
    <x v="4"/>
    <s v="EMP-0405"/>
    <s v="PROMO-00"/>
    <s v="Mobile Payment"/>
    <n v="460"/>
    <s v="2022-03-05"/>
    <x v="2"/>
    <x v="2"/>
    <x v="0"/>
    <s v="Known Employee"/>
    <n v="6"/>
  </r>
  <r>
    <s v="TRN-9633"/>
    <x v="5"/>
    <x v="4"/>
    <s v="EMP-0404"/>
    <s v="PROMO-00"/>
    <s v="Mobile Payment"/>
    <n v="116"/>
    <s v="2022-03-06"/>
    <x v="2"/>
    <x v="2"/>
    <x v="0"/>
    <s v="Known Employee"/>
    <n v="5"/>
  </r>
  <r>
    <s v="TRN-9775"/>
    <x v="28"/>
    <x v="1"/>
    <s v="EMP-0103"/>
    <s v="PROMO-00"/>
    <s v="Debit Card"/>
    <n v="574"/>
    <s v="2022-03-06"/>
    <x v="2"/>
    <x v="2"/>
    <x v="0"/>
    <s v="Known Employee"/>
    <n v="8"/>
  </r>
  <r>
    <s v="TRN-9554"/>
    <x v="29"/>
    <x v="3"/>
    <s v="EMP-0203"/>
    <s v="PROMO-00"/>
    <s v="Credit Card"/>
    <n v="514"/>
    <s v="2022-03-12"/>
    <x v="2"/>
    <x v="2"/>
    <x v="0"/>
    <s v="Known Employee"/>
    <n v="4"/>
  </r>
  <r>
    <s v="TRN-9121"/>
    <x v="30"/>
    <x v="5"/>
    <s v="EMP-0103"/>
    <s v="PROMO-00"/>
    <s v="Mobile Payment"/>
    <n v="527"/>
    <s v="2022-03-19"/>
    <x v="2"/>
    <x v="2"/>
    <x v="0"/>
    <s v="Known Employee"/>
    <n v="1"/>
  </r>
  <r>
    <s v=" TRN-9834 "/>
    <x v="11"/>
    <x v="4"/>
    <s v="EMP-0405"/>
    <s v="PROMO-03"/>
    <s v="Credit Card"/>
    <n v="468.35"/>
    <s v="2022-03-20"/>
    <x v="2"/>
    <x v="2"/>
    <x v="0"/>
    <s v="Known Employee"/>
    <n v="8"/>
  </r>
  <r>
    <s v="TRN-9645"/>
    <x v="19"/>
    <x v="2"/>
    <s v="EMP-0303"/>
    <s v="PROMO-02"/>
    <s v="Cash"/>
    <n v="468.9"/>
    <s v="2022-03-22"/>
    <x v="2"/>
    <x v="2"/>
    <x v="0"/>
    <s v="Known Employee"/>
    <n v="6"/>
  </r>
  <r>
    <s v="TRN-9954"/>
    <x v="31"/>
    <x v="4"/>
    <s v="EMP-0403"/>
    <s v="PROMO-01"/>
    <s v="Mobile Payment"/>
    <n v="178.5"/>
    <s v="2022-03-30"/>
    <x v="2"/>
    <x v="2"/>
    <x v="0"/>
    <s v="Known Employee"/>
    <n v="3"/>
  </r>
  <r>
    <s v="TRN-9887"/>
    <x v="32"/>
    <x v="6"/>
    <s v="EMP-0203"/>
    <s v="PROMO-01"/>
    <s v="Mobile Payment"/>
    <n v="486.2"/>
    <s v="2022-03-31"/>
    <x v="2"/>
    <x v="2"/>
    <x v="0"/>
    <s v="Known Employee"/>
    <n v="6"/>
  </r>
  <r>
    <s v=" TRN-9664 "/>
    <x v="15"/>
    <x v="4"/>
    <s v="EMP-0404"/>
    <s v="PROMO-00"/>
    <s v="Credit Card"/>
    <n v="476"/>
    <s v="2022-04-01"/>
    <x v="3"/>
    <x v="1"/>
    <x v="0"/>
    <s v="Known Employee"/>
    <n v="7"/>
  </r>
  <r>
    <s v="TRN-9859"/>
    <x v="33"/>
    <x v="5"/>
    <s v=" EMP-0101 "/>
    <s v="PROMO-00"/>
    <s v="Credit Card"/>
    <n v="650"/>
    <s v="2022-04-03"/>
    <x v="3"/>
    <x v="1"/>
    <x v="0"/>
    <s v="Known Employee"/>
    <n v="4"/>
  </r>
  <r>
    <s v="TRN-9981"/>
    <x v="34"/>
    <x v="3"/>
    <s v="EMP-0205"/>
    <s v="PROMO-00"/>
    <s v="Credit Card"/>
    <n v="255"/>
    <s v="2022-04-04"/>
    <x v="3"/>
    <x v="1"/>
    <x v="0"/>
    <s v="Known Employee"/>
    <n v="4"/>
  </r>
  <r>
    <s v="TRN-9116"/>
    <x v="35"/>
    <x v="2"/>
    <s v="EMP-0304"/>
    <s v="PROMO-03"/>
    <s v="Debit Card"/>
    <n v="513"/>
    <s v="2022-04-12"/>
    <x v="3"/>
    <x v="1"/>
    <x v="0"/>
    <s v="Known Employee"/>
    <n v="7"/>
  </r>
  <r>
    <s v="TRN-9049"/>
    <x v="36"/>
    <x v="4"/>
    <s v="Unknown"/>
    <s v="PROMO-00"/>
    <s v="Debit Card"/>
    <n v="615"/>
    <s v="2022-04-13"/>
    <x v="3"/>
    <x v="1"/>
    <x v="0"/>
    <s v="UnKnown Employee"/>
    <n v="9"/>
  </r>
  <r>
    <s v="TRN-9478"/>
    <x v="37"/>
    <x v="3"/>
    <s v="Unknown"/>
    <s v="PROMO-00"/>
    <s v="Cash"/>
    <n v="385"/>
    <s v="2022-04-14"/>
    <x v="3"/>
    <x v="1"/>
    <x v="0"/>
    <s v="UnKnown Employee"/>
    <n v="4"/>
  </r>
  <r>
    <s v="TRN-9388"/>
    <x v="38"/>
    <x v="3"/>
    <s v="EMP-0203"/>
    <s v="PROMO-03"/>
    <s v="Unknown"/>
    <n v="545.29999999999995"/>
    <s v="2022-04-15"/>
    <x v="3"/>
    <x v="1"/>
    <x v="0"/>
    <s v="Known Employee"/>
    <n v="5"/>
  </r>
  <r>
    <s v="TRN-9978"/>
    <x v="39"/>
    <x v="4"/>
    <s v="EMP-0404"/>
    <s v="PROMO-00"/>
    <s v="Debit Card"/>
    <n v="380"/>
    <s v="2022-04-15"/>
    <x v="3"/>
    <x v="1"/>
    <x v="0"/>
    <s v="Known Employee"/>
    <n v="6"/>
  </r>
  <r>
    <s v="TRN-9915"/>
    <x v="40"/>
    <x v="4"/>
    <s v="EMP-0405"/>
    <s v="PROMO-00"/>
    <s v="Debit Card"/>
    <n v="559"/>
    <s v="2022-04-17"/>
    <x v="3"/>
    <x v="1"/>
    <x v="0"/>
    <s v="Known Employee"/>
    <n v="3"/>
  </r>
  <r>
    <s v="TRN-9770"/>
    <x v="41"/>
    <x v="5"/>
    <s v="EMP-0101"/>
    <s v="PROMO-03"/>
    <s v="Credit Card"/>
    <n v="247"/>
    <s v="2022-04-21"/>
    <x v="3"/>
    <x v="1"/>
    <x v="0"/>
    <s v="Known Employee"/>
    <n v="4"/>
  </r>
  <r>
    <s v="TRN-9248"/>
    <x v="42"/>
    <x v="1"/>
    <s v="EMP-0105"/>
    <s v="PROMO-02"/>
    <s v="Debit Card"/>
    <n v="520.20000000000005"/>
    <s v="2022-04-21"/>
    <x v="3"/>
    <x v="1"/>
    <x v="0"/>
    <s v="Known Employee"/>
    <n v="5"/>
  </r>
  <r>
    <s v="TRN-9344"/>
    <x v="43"/>
    <x v="3"/>
    <s v="EMP-0201"/>
    <s v="PROMO-00"/>
    <s v="Unknown"/>
    <n v="426"/>
    <s v="2022-04-23"/>
    <x v="3"/>
    <x v="1"/>
    <x v="0"/>
    <s v="Known Employee"/>
    <n v="4"/>
  </r>
  <r>
    <s v="TRN-9966"/>
    <x v="44"/>
    <x v="4"/>
    <s v="EMP-0404"/>
    <s v="PROMO-00"/>
    <s v="Mobile Payment"/>
    <n v="518"/>
    <s v="2022-04-23"/>
    <x v="3"/>
    <x v="1"/>
    <x v="0"/>
    <s v="Known Employee"/>
    <n v="5"/>
  </r>
  <r>
    <s v="TRN-9111"/>
    <x v="45"/>
    <x v="1"/>
    <s v="EMP-0101"/>
    <s v="No Promotion"/>
    <s v="Credit Card"/>
    <n v="520"/>
    <s v="2022-04-27"/>
    <x v="3"/>
    <x v="1"/>
    <x v="1"/>
    <s v="Known Employee"/>
    <n v="4"/>
  </r>
  <r>
    <s v="TRN-9699"/>
    <x v="27"/>
    <x v="3"/>
    <s v="Unknown"/>
    <s v="PROMO-00"/>
    <s v="Mobile Payment"/>
    <n v="274"/>
    <s v="2022-04-28"/>
    <x v="3"/>
    <x v="1"/>
    <x v="0"/>
    <s v="UnKnown Employee"/>
    <n v="6"/>
  </r>
  <r>
    <s v="TRN-9697"/>
    <x v="46"/>
    <x v="4"/>
    <s v="EMP-0401"/>
    <s v="PROMO-02"/>
    <s v="Credit Card"/>
    <n v="126"/>
    <s v="2022-04-29"/>
    <x v="3"/>
    <x v="1"/>
    <x v="0"/>
    <s v="Known Employee"/>
    <n v="3"/>
  </r>
  <r>
    <s v="TRN-9267"/>
    <x v="47"/>
    <x v="1"/>
    <s v="EMP-0103"/>
    <s v="PROMO-02"/>
    <s v="Mobile Payment"/>
    <n v="294.3"/>
    <s v="2022-05-02"/>
    <x v="4"/>
    <x v="1"/>
    <x v="0"/>
    <s v="Known Employee"/>
    <n v="5"/>
  </r>
  <r>
    <s v="TRN-9647"/>
    <x v="24"/>
    <x v="2"/>
    <s v="EMP-0302"/>
    <s v="PROMO-00"/>
    <s v="Credit Card"/>
    <n v="170"/>
    <s v="2022-05-08"/>
    <x v="4"/>
    <x v="1"/>
    <x v="0"/>
    <s v="Known Employee"/>
    <n v="8"/>
  </r>
  <r>
    <s v="TRN-9692"/>
    <x v="48"/>
    <x v="2"/>
    <s v="EMP-0304"/>
    <s v="PROMO-00"/>
    <s v="Cash"/>
    <n v="346"/>
    <s v="2022-05-11"/>
    <x v="4"/>
    <x v="1"/>
    <x v="0"/>
    <s v="Known Employee"/>
    <n v="4"/>
  </r>
  <r>
    <s v="TRN-9969"/>
    <x v="11"/>
    <x v="1"/>
    <s v="EMP-0103"/>
    <s v="PROMO-00"/>
    <s v="Mobile Payment"/>
    <n v="193"/>
    <s v="2022-05-16"/>
    <x v="4"/>
    <x v="1"/>
    <x v="0"/>
    <s v="Known Employee"/>
    <n v="8"/>
  </r>
  <r>
    <s v="TRN-9009"/>
    <x v="49"/>
    <x v="3"/>
    <s v="Unknown"/>
    <s v="PROMO-01"/>
    <s v="Credit Card"/>
    <n v="357"/>
    <s v="2022-05-17"/>
    <x v="4"/>
    <x v="1"/>
    <x v="0"/>
    <s v="UnKnown Employee"/>
    <n v="4"/>
  </r>
  <r>
    <s v="TRN-9143"/>
    <x v="50"/>
    <x v="2"/>
    <s v="EMP-0304"/>
    <s v="PROMO-00"/>
    <s v="Credit Card"/>
    <n v="529"/>
    <s v="2022-05-21"/>
    <x v="4"/>
    <x v="1"/>
    <x v="0"/>
    <s v="Known Employee"/>
    <n v="2"/>
  </r>
  <r>
    <s v="TRN-9328"/>
    <x v="51"/>
    <x v="3"/>
    <s v="EMP-0205"/>
    <s v="PROMO-00"/>
    <s v="Credit Card"/>
    <n v="250"/>
    <s v="2022-05-26"/>
    <x v="4"/>
    <x v="1"/>
    <x v="0"/>
    <s v="Known Employee"/>
    <n v="3"/>
  </r>
  <r>
    <s v="TRN-9383"/>
    <x v="52"/>
    <x v="1"/>
    <s v="EMP-0105"/>
    <s v="PROMO-02"/>
    <s v="Mobile Payment"/>
    <n v="279"/>
    <s v="2022-05-28"/>
    <x v="4"/>
    <x v="1"/>
    <x v="0"/>
    <s v="Known Employee"/>
    <n v="4"/>
  </r>
  <r>
    <s v="TRN-9445"/>
    <x v="1"/>
    <x v="1"/>
    <s v="EMP-0104"/>
    <s v="PROMO-00"/>
    <s v="Credit Card"/>
    <n v="416"/>
    <s v="2022-05-28"/>
    <x v="4"/>
    <x v="1"/>
    <x v="0"/>
    <s v="Known Employee"/>
    <n v="4"/>
  </r>
  <r>
    <s v="TRN-9104"/>
    <x v="53"/>
    <x v="1"/>
    <s v="EMP-0104"/>
    <s v="PROMO-01"/>
    <s v="Debit Card"/>
    <n v="363.8"/>
    <s v="2022-05-29"/>
    <x v="4"/>
    <x v="1"/>
    <x v="0"/>
    <s v="Known Employee"/>
    <n v="3"/>
  </r>
  <r>
    <s v="TRN-9658"/>
    <x v="27"/>
    <x v="6"/>
    <s v="EMP-0202"/>
    <s v="PROMO-00"/>
    <s v="Mobile Payment"/>
    <n v="255"/>
    <s v="2022-05-31"/>
    <x v="4"/>
    <x v="1"/>
    <x v="0"/>
    <s v="Known Employee"/>
    <n v="6"/>
  </r>
  <r>
    <s v="TRN-9276"/>
    <x v="31"/>
    <x v="4"/>
    <s v="EMP-0401"/>
    <s v=" PROMO-02 "/>
    <s v="Credit Card"/>
    <n v="441"/>
    <s v="2022-06-01"/>
    <x v="5"/>
    <x v="1"/>
    <x v="0"/>
    <s v="Known Employee"/>
    <n v="3"/>
  </r>
  <r>
    <s v="TRN-9419"/>
    <x v="54"/>
    <x v="4"/>
    <s v="EMP-0401"/>
    <s v="PROMO-03"/>
    <s v="Credit Card"/>
    <n v="330.6"/>
    <s v="2022-06-03"/>
    <x v="5"/>
    <x v="1"/>
    <x v="0"/>
    <s v="Known Employee"/>
    <n v="3"/>
  </r>
  <r>
    <s v="TRN-9424"/>
    <x v="55"/>
    <x v="4"/>
    <s v="EMP-0401"/>
    <s v="PROMO-00"/>
    <s v="Mobile Payment"/>
    <n v="960"/>
    <s v="2022-06-04"/>
    <x v="5"/>
    <x v="1"/>
    <x v="0"/>
    <s v="Known Employee"/>
    <n v="5"/>
  </r>
  <r>
    <s v="TRN-9671"/>
    <x v="56"/>
    <x v="1"/>
    <s v="EMP-0102"/>
    <s v="PROMO-00"/>
    <s v="Debit Card"/>
    <n v="376"/>
    <s v="2022-06-04"/>
    <x v="5"/>
    <x v="1"/>
    <x v="0"/>
    <s v="Known Employee"/>
    <n v="3"/>
  </r>
  <r>
    <s v="TRN-9249"/>
    <x v="57"/>
    <x v="6"/>
    <s v="EMP-0202"/>
    <s v="PROMO-03"/>
    <s v="Credit Card"/>
    <n v="90.25"/>
    <s v="2022-06-07"/>
    <x v="5"/>
    <x v="1"/>
    <x v="0"/>
    <s v="Known Employee"/>
    <n v="3"/>
  </r>
  <r>
    <s v="TRN-9455"/>
    <x v="58"/>
    <x v="3"/>
    <s v="EMP-0203"/>
    <s v="PROMO-00"/>
    <s v="Debit Card"/>
    <n v="215"/>
    <s v="2022-06-07"/>
    <x v="5"/>
    <x v="1"/>
    <x v="0"/>
    <s v="Known Employee"/>
    <n v="7"/>
  </r>
  <r>
    <s v="TRN-9917"/>
    <x v="14"/>
    <x v="3"/>
    <s v="EMP-0201"/>
    <s v="PROMO-02"/>
    <s v="Debit Card"/>
    <n v="175.5"/>
    <s v="2022-06-07"/>
    <x v="5"/>
    <x v="1"/>
    <x v="0"/>
    <s v="Known Employee"/>
    <n v="6"/>
  </r>
  <r>
    <s v=" TRN-9588 "/>
    <x v="59"/>
    <x v="1"/>
    <s v="EMP-0103"/>
    <s v="PROMO-00"/>
    <s v="Mobile Payment"/>
    <n v="201"/>
    <s v="2022-06-08"/>
    <x v="5"/>
    <x v="1"/>
    <x v="0"/>
    <s v="Known Employee"/>
    <n v="5"/>
  </r>
  <r>
    <s v="TRN-9632"/>
    <x v="58"/>
    <x v="2"/>
    <s v="EMP-0301"/>
    <s v="No Promotion"/>
    <s v="Mobile Payment"/>
    <n v="55.25"/>
    <s v="2022-06-08"/>
    <x v="5"/>
    <x v="1"/>
    <x v="1"/>
    <s v="Known Employee"/>
    <n v="7"/>
  </r>
  <r>
    <s v=" TRN-9988 "/>
    <x v="3"/>
    <x v="3"/>
    <s v="EMP-0201"/>
    <s v="PROMO-00"/>
    <s v="Credit Card"/>
    <n v="551"/>
    <s v="2022-06-08"/>
    <x v="5"/>
    <x v="1"/>
    <x v="0"/>
    <s v="Known Employee"/>
    <n v="8"/>
  </r>
  <r>
    <s v="TRN-9672"/>
    <x v="60"/>
    <x v="2"/>
    <s v="EMP-0303"/>
    <s v=" PROMO-00 "/>
    <s v="Unknown"/>
    <n v="68"/>
    <s v="2022-06-08"/>
    <x v="5"/>
    <x v="1"/>
    <x v="0"/>
    <s v="Known Employee"/>
    <n v="4"/>
  </r>
  <r>
    <s v="TRN-9004"/>
    <x v="61"/>
    <x v="2"/>
    <s v="EMP-0305"/>
    <s v="PROMO-00"/>
    <s v="Unknown"/>
    <n v="285"/>
    <s v="2022-06-10"/>
    <x v="5"/>
    <x v="1"/>
    <x v="0"/>
    <s v="Known Employee"/>
    <n v="4"/>
  </r>
  <r>
    <s v=" TRN-9772 "/>
    <x v="62"/>
    <x v="1"/>
    <s v="EMP-0104"/>
    <s v="PROMO-00"/>
    <s v="Debit Card"/>
    <n v="715"/>
    <s v="2022-06-13"/>
    <x v="5"/>
    <x v="1"/>
    <x v="0"/>
    <s v="Known Employee"/>
    <n v="2"/>
  </r>
  <r>
    <s v="TRN-9294"/>
    <x v="11"/>
    <x v="2"/>
    <s v="EMP-0304"/>
    <s v=" PROMO-00 "/>
    <s v="Cash"/>
    <n v="225"/>
    <s v="2022-06-18"/>
    <x v="5"/>
    <x v="1"/>
    <x v="0"/>
    <s v="Known Employee"/>
    <n v="8"/>
  </r>
  <r>
    <s v="TRN-9986"/>
    <x v="63"/>
    <x v="2"/>
    <s v="EMP-0303"/>
    <s v="PROMO-01"/>
    <s v="Credit Card"/>
    <n v="310.25"/>
    <s v="2022-06-18"/>
    <x v="5"/>
    <x v="1"/>
    <x v="0"/>
    <s v="Known Employee"/>
    <n v="2"/>
  </r>
  <r>
    <s v="TRN-9320"/>
    <x v="64"/>
    <x v="2"/>
    <s v="EMP-0302"/>
    <s v="PROMO-00"/>
    <s v="Cash"/>
    <n v="714"/>
    <s v="2022-06-23"/>
    <x v="5"/>
    <x v="1"/>
    <x v="0"/>
    <s v="Known Employee"/>
    <n v="3"/>
  </r>
  <r>
    <s v="TRN-9503"/>
    <x v="65"/>
    <x v="2"/>
    <s v="Unknown"/>
    <s v="PROMO-00"/>
    <s v=" Debit Card "/>
    <n v="130"/>
    <s v="2022-06-26"/>
    <x v="5"/>
    <x v="1"/>
    <x v="0"/>
    <s v="UnKnown Employee"/>
    <n v="4"/>
  </r>
  <r>
    <s v="TRN-9083"/>
    <x v="66"/>
    <x v="1"/>
    <s v="EMP-0104"/>
    <s v="PROMO-02"/>
    <s v="Credit Card"/>
    <n v="175.5"/>
    <s v="2022-06-28"/>
    <x v="5"/>
    <x v="1"/>
    <x v="0"/>
    <s v="Known Employee"/>
    <n v="6"/>
  </r>
  <r>
    <s v="TRN-9708"/>
    <x v="43"/>
    <x v="3"/>
    <s v="EMP-0201"/>
    <s v="PROMO-00"/>
    <s v="Credit Card"/>
    <n v="240"/>
    <s v="2022-06-29"/>
    <x v="5"/>
    <x v="1"/>
    <x v="0"/>
    <s v="Known Employee"/>
    <n v="4"/>
  </r>
  <r>
    <s v="TRN-9691"/>
    <x v="67"/>
    <x v="3"/>
    <s v="EMP-0202"/>
    <s v="PROMO-00"/>
    <s v="Mobile Payment"/>
    <n v="321"/>
    <s v="2022-07-05"/>
    <x v="6"/>
    <x v="1"/>
    <x v="0"/>
    <s v="Known Employee"/>
    <n v="1"/>
  </r>
  <r>
    <s v="TRN-9726"/>
    <x v="14"/>
    <x v="4"/>
    <s v="EMP-0402"/>
    <s v="PROMO-00"/>
    <s v="Mobile Payment"/>
    <n v="186"/>
    <s v="2022-07-05"/>
    <x v="6"/>
    <x v="1"/>
    <x v="0"/>
    <s v="Known Employee"/>
    <n v="6"/>
  </r>
  <r>
    <s v="TRN-9938"/>
    <x v="58"/>
    <x v="4"/>
    <s v="EMP-0401"/>
    <s v="PROMO-00"/>
    <s v="Debit Card"/>
    <n v="325"/>
    <s v="2022-07-06"/>
    <x v="6"/>
    <x v="1"/>
    <x v="0"/>
    <s v="Known Employee"/>
    <n v="7"/>
  </r>
  <r>
    <s v="TRN-9758"/>
    <x v="19"/>
    <x v="4"/>
    <s v="EMP-0404"/>
    <s v="PROMO-00"/>
    <s v="Mobile Payment"/>
    <n v="360"/>
    <s v="2022-07-07"/>
    <x v="6"/>
    <x v="1"/>
    <x v="0"/>
    <s v="Known Employee"/>
    <n v="6"/>
  </r>
  <r>
    <s v="TRN-9989"/>
    <x v="68"/>
    <x v="4"/>
    <s v="EMP-0404"/>
    <s v="PROMO-00"/>
    <s v="Unknown"/>
    <n v="600"/>
    <s v="2022-07-09"/>
    <x v="6"/>
    <x v="1"/>
    <x v="0"/>
    <s v="Known Employee"/>
    <n v="4"/>
  </r>
  <r>
    <s v="TRN-9269"/>
    <x v="69"/>
    <x v="2"/>
    <s v="EMP-0304"/>
    <s v="PROMO-00"/>
    <s v="Debit Card"/>
    <n v="460"/>
    <s v="2022-07-09"/>
    <x v="6"/>
    <x v="1"/>
    <x v="0"/>
    <s v="Known Employee"/>
    <n v="7"/>
  </r>
  <r>
    <s v="TRN-9649"/>
    <x v="70"/>
    <x v="2"/>
    <s v="EMP-0305"/>
    <s v="PROMO-02"/>
    <s v="Debit Card"/>
    <n v="124.2"/>
    <s v="2022-07-10"/>
    <x v="6"/>
    <x v="1"/>
    <x v="0"/>
    <s v="Known Employee"/>
    <n v="4"/>
  </r>
  <r>
    <s v="TRN-9272"/>
    <x v="71"/>
    <x v="2"/>
    <s v="EMP-0304"/>
    <s v="PROMO-00"/>
    <s v="Cash"/>
    <n v="659"/>
    <s v="2022-07-10"/>
    <x v="6"/>
    <x v="1"/>
    <x v="0"/>
    <s v="Known Employee"/>
    <n v="5"/>
  </r>
  <r>
    <s v="TRN-9636"/>
    <x v="72"/>
    <x v="4"/>
    <s v="EMP-0402"/>
    <s v="PROMO-00"/>
    <s v="Credit Card"/>
    <n v="490"/>
    <s v="2022-07-11"/>
    <x v="6"/>
    <x v="1"/>
    <x v="0"/>
    <s v="Known Employee"/>
    <n v="2"/>
  </r>
  <r>
    <s v="TRN-9634"/>
    <x v="56"/>
    <x v="1"/>
    <s v="EMP-0105"/>
    <s v="PROMO-02"/>
    <s v="Unknown"/>
    <n v="504"/>
    <s v="2022-07-15"/>
    <x v="6"/>
    <x v="1"/>
    <x v="0"/>
    <s v="Known Employee"/>
    <n v="3"/>
  </r>
  <r>
    <s v="TRN-9486"/>
    <x v="73"/>
    <x v="0"/>
    <s v="EMP-0104"/>
    <s v="PROMO-00"/>
    <s v="Credit Card"/>
    <n v="190"/>
    <s v="2022-07-15"/>
    <x v="6"/>
    <x v="1"/>
    <x v="0"/>
    <s v="Known Employee"/>
    <n v="1"/>
  </r>
  <r>
    <s v="TRN-9084"/>
    <x v="74"/>
    <x v="1"/>
    <s v="EMP-0102"/>
    <s v="PROMO-00"/>
    <s v=" Cash "/>
    <n v="160"/>
    <s v="2022-07-17"/>
    <x v="6"/>
    <x v="1"/>
    <x v="0"/>
    <s v="Known Employee"/>
    <n v="8"/>
  </r>
  <r>
    <s v="TRN-9682"/>
    <x v="75"/>
    <x v="3"/>
    <s v="EMP-0201"/>
    <s v="PROMO-03"/>
    <s v="Cash"/>
    <n v="499.7"/>
    <s v="2022-07-19"/>
    <x v="6"/>
    <x v="1"/>
    <x v="0"/>
    <s v="Known Employee"/>
    <n v="3"/>
  </r>
  <r>
    <s v="TRN-9935"/>
    <x v="74"/>
    <x v="3"/>
    <s v="EMP-0201"/>
    <s v="PROMO-00"/>
    <s v="Debit Card"/>
    <n v="622"/>
    <s v="2022-07-20"/>
    <x v="6"/>
    <x v="1"/>
    <x v="0"/>
    <s v="Known Employee"/>
    <n v="8"/>
  </r>
  <r>
    <s v="TRN-9922"/>
    <x v="76"/>
    <x v="1"/>
    <s v="EMP-0104"/>
    <s v="PROMO-02"/>
    <s v="Mobile Payment"/>
    <n v="399.6"/>
    <s v="2022-07-20"/>
    <x v="6"/>
    <x v="1"/>
    <x v="0"/>
    <s v="Known Employee"/>
    <n v="3"/>
  </r>
  <r>
    <s v="TRN-9644"/>
    <x v="77"/>
    <x v="3"/>
    <s v="EMP-0201"/>
    <s v="PROMO-02"/>
    <s v="Debit Card"/>
    <n v="517.5"/>
    <s v="2022-07-21"/>
    <x v="6"/>
    <x v="1"/>
    <x v="0"/>
    <s v="Known Employee"/>
    <n v="3"/>
  </r>
  <r>
    <s v="TRN-9744"/>
    <x v="78"/>
    <x v="4"/>
    <s v="EMP-0405"/>
    <s v="PROMO-02"/>
    <s v="Cash"/>
    <n v="445.5"/>
    <s v="2022-07-24"/>
    <x v="6"/>
    <x v="1"/>
    <x v="0"/>
    <s v="Known Employee"/>
    <n v="7"/>
  </r>
  <r>
    <s v="TRN-9286"/>
    <x v="79"/>
    <x v="2"/>
    <s v="EMP-0305"/>
    <s v="No Promotion"/>
    <s v="Debit Card"/>
    <n v="595"/>
    <s v="2022-07-28"/>
    <x v="6"/>
    <x v="1"/>
    <x v="1"/>
    <s v="Known Employee"/>
    <n v="3"/>
  </r>
  <r>
    <s v="TRN-9745"/>
    <x v="80"/>
    <x v="2"/>
    <s v="EMP-0301"/>
    <s v="PROMO-03"/>
    <s v="Credit Card"/>
    <n v="66.5"/>
    <s v="2022-07-29"/>
    <x v="6"/>
    <x v="1"/>
    <x v="0"/>
    <s v="Known Employee"/>
    <n v="2"/>
  </r>
  <r>
    <s v="TRN-9072"/>
    <x v="81"/>
    <x v="1"/>
    <s v="EMP-0104"/>
    <s v="PROMO-01"/>
    <s v="Cash"/>
    <n v="267.75"/>
    <s v="2022-07-30"/>
    <x v="6"/>
    <x v="1"/>
    <x v="0"/>
    <s v="Known Employee"/>
    <n v="3"/>
  </r>
  <r>
    <s v="TRN-9539"/>
    <x v="17"/>
    <x v="7"/>
    <s v="Unknown"/>
    <s v="PROMO-03"/>
    <s v="Unknown"/>
    <n v="147.25"/>
    <s v="2022-07-31"/>
    <x v="6"/>
    <x v="1"/>
    <x v="0"/>
    <s v="UnKnown Employee"/>
    <n v="6"/>
  </r>
  <r>
    <s v="TRN-9030"/>
    <x v="82"/>
    <x v="3"/>
    <s v="EMP-0203"/>
    <s v="PROMO-02"/>
    <s v=" Mobile Payment "/>
    <n v="318.60000000000002"/>
    <s v="2022-07-31"/>
    <x v="6"/>
    <x v="1"/>
    <x v="0"/>
    <s v="Known Employee"/>
    <n v="3"/>
  </r>
  <r>
    <s v="TRN-9824"/>
    <x v="83"/>
    <x v="4"/>
    <s v="EMP-0403"/>
    <s v="PROMO-00"/>
    <s v="Cash"/>
    <n v="360"/>
    <s v="2022-07-31"/>
    <x v="6"/>
    <x v="1"/>
    <x v="0"/>
    <s v="Known Employee"/>
    <n v="3"/>
  </r>
  <r>
    <s v="TRN-9070"/>
    <x v="32"/>
    <x v="1"/>
    <s v=" EMP-0104 "/>
    <s v="PROMO-00"/>
    <s v="Cash"/>
    <n v="610"/>
    <s v="2022-08-01"/>
    <x v="7"/>
    <x v="3"/>
    <x v="0"/>
    <s v="Known Employee"/>
    <n v="6"/>
  </r>
  <r>
    <s v="TRN-9417"/>
    <x v="84"/>
    <x v="1"/>
    <s v="Unknown"/>
    <s v="PROMO-00"/>
    <s v="Credit Card"/>
    <n v="525"/>
    <s v="2022-08-01"/>
    <x v="7"/>
    <x v="3"/>
    <x v="0"/>
    <s v="UnKnown Employee"/>
    <n v="2"/>
  </r>
  <r>
    <s v="TRN-9045"/>
    <x v="85"/>
    <x v="4"/>
    <s v="EMP-0405"/>
    <s v="PROMO-01"/>
    <s v="Credit Card"/>
    <n v="334.9"/>
    <s v="2022-08-02"/>
    <x v="7"/>
    <x v="3"/>
    <x v="0"/>
    <s v="Known Employee"/>
    <n v="4"/>
  </r>
  <r>
    <s v="TRN-9527"/>
    <x v="86"/>
    <x v="3"/>
    <s v="EMP-0202"/>
    <s v="No Promotion"/>
    <s v="Credit Card"/>
    <n v="80"/>
    <s v="2022-08-06"/>
    <x v="7"/>
    <x v="3"/>
    <x v="1"/>
    <s v="Known Employee"/>
    <n v="5"/>
  </r>
  <r>
    <s v="TRN-9227"/>
    <x v="87"/>
    <x v="4"/>
    <s v="EMP-0405"/>
    <s v="PROMO-00"/>
    <s v="Credit Card"/>
    <n v="100"/>
    <s v="2022-08-08"/>
    <x v="7"/>
    <x v="3"/>
    <x v="0"/>
    <s v="Known Employee"/>
    <n v="2"/>
  </r>
  <r>
    <s v="TRN-9561"/>
    <x v="14"/>
    <x v="2"/>
    <s v="EMP-0304"/>
    <s v="PROMO-01"/>
    <s v="Credit Card"/>
    <n v="377.4"/>
    <s v="2022-08-13"/>
    <x v="7"/>
    <x v="3"/>
    <x v="0"/>
    <s v="Known Employee"/>
    <n v="6"/>
  </r>
  <r>
    <s v="TRN-9785"/>
    <x v="88"/>
    <x v="2"/>
    <s v="EMP-0305"/>
    <s v="PROMO-01"/>
    <s v="Debit Card"/>
    <n v="313.64999999999998"/>
    <s v="2022-08-17"/>
    <x v="7"/>
    <x v="3"/>
    <x v="0"/>
    <s v="Known Employee"/>
    <n v="5"/>
  </r>
  <r>
    <s v="TRN-9603"/>
    <x v="89"/>
    <x v="3"/>
    <s v="EMP-0203"/>
    <s v="PROMO-00"/>
    <s v="Cash"/>
    <n v="150"/>
    <s v="2022-08-22"/>
    <x v="7"/>
    <x v="3"/>
    <x v="0"/>
    <s v="Known Employee"/>
    <n v="1"/>
  </r>
  <r>
    <s v="TRN-9314"/>
    <x v="90"/>
    <x v="2"/>
    <s v="EMP-0304"/>
    <s v="PROMO-00"/>
    <s v="Mobile Payment"/>
    <n v="290"/>
    <s v="2022-08-22"/>
    <x v="7"/>
    <x v="3"/>
    <x v="0"/>
    <s v="Known Employee"/>
    <n v="7"/>
  </r>
  <r>
    <s v="TRN-9740"/>
    <x v="91"/>
    <x v="4"/>
    <s v="EMP-0402"/>
    <s v=" PROMO-00 "/>
    <s v="Debit Card"/>
    <n v="420"/>
    <s v="2022-08-26"/>
    <x v="7"/>
    <x v="3"/>
    <x v="0"/>
    <s v="Known Employee"/>
    <n v="2"/>
  </r>
  <r>
    <s v="TRN-9929"/>
    <x v="92"/>
    <x v="1"/>
    <s v="EMP-0102"/>
    <s v="PROMO-01"/>
    <s v="Cash"/>
    <n v="119"/>
    <s v="2022-08-27"/>
    <x v="7"/>
    <x v="3"/>
    <x v="0"/>
    <s v="Known Employee"/>
    <n v="4"/>
  </r>
  <r>
    <s v="TRN-9173"/>
    <x v="51"/>
    <x v="3"/>
    <s v="EMP-0201"/>
    <s v="PROMO-01"/>
    <s v="Debit Card"/>
    <n v="293.25"/>
    <s v="2022-08-27"/>
    <x v="7"/>
    <x v="3"/>
    <x v="0"/>
    <s v="Known Employee"/>
    <n v="3"/>
  </r>
  <r>
    <s v="TRN-9319"/>
    <x v="11"/>
    <x v="4"/>
    <s v="EMP-0401"/>
    <s v="PROMO-00"/>
    <s v="Mobile Payment"/>
    <n v="360"/>
    <s v="2022-08-28"/>
    <x v="7"/>
    <x v="3"/>
    <x v="0"/>
    <s v="Known Employee"/>
    <n v="8"/>
  </r>
  <r>
    <s v=" TRN-9425 "/>
    <x v="93"/>
    <x v="2"/>
    <s v="EMP-0304"/>
    <s v="PROMO-00"/>
    <s v="Debit Card"/>
    <n v="165"/>
    <s v="2022-08-30"/>
    <x v="7"/>
    <x v="3"/>
    <x v="0"/>
    <s v="Known Employee"/>
    <n v="5"/>
  </r>
  <r>
    <s v="TRN-9303"/>
    <x v="94"/>
    <x v="4"/>
    <s v="EMP-0401"/>
    <s v="PROMO-00"/>
    <s v="Cash"/>
    <n v="55"/>
    <s v="2022-08-30"/>
    <x v="7"/>
    <x v="3"/>
    <x v="0"/>
    <s v="Known Employee"/>
    <n v="3"/>
  </r>
  <r>
    <s v="TRN-9936"/>
    <x v="95"/>
    <x v="1"/>
    <s v="EMP-0102"/>
    <s v="PROMO-00"/>
    <s v="Credit Card"/>
    <n v="143"/>
    <s v="2022-08-31"/>
    <x v="7"/>
    <x v="3"/>
    <x v="0"/>
    <s v="Known Employee"/>
    <n v="3"/>
  </r>
  <r>
    <s v="TRN-9490"/>
    <x v="95"/>
    <x v="4"/>
    <s v="EMP-0402"/>
    <s v="PROMO-00"/>
    <s v="Debit Card"/>
    <n v="475"/>
    <s v="2022-09-01"/>
    <x v="8"/>
    <x v="4"/>
    <x v="0"/>
    <s v="Known Employee"/>
    <n v="3"/>
  </r>
  <r>
    <s v="TRN-9594"/>
    <x v="88"/>
    <x v="2"/>
    <s v="EMP-0304"/>
    <s v="No Promotion"/>
    <s v="Mobile Payment"/>
    <n v="375"/>
    <s v="2022-09-02"/>
    <x v="8"/>
    <x v="4"/>
    <x v="1"/>
    <s v="Known Employee"/>
    <n v="5"/>
  </r>
  <r>
    <s v="TRN-9619"/>
    <x v="60"/>
    <x v="3"/>
    <s v="EMP-0204"/>
    <s v="PROMO-00"/>
    <s v="Debit Card"/>
    <n v="235"/>
    <s v="2022-09-03"/>
    <x v="8"/>
    <x v="4"/>
    <x v="0"/>
    <s v="Known Employee"/>
    <n v="4"/>
  </r>
  <r>
    <s v="TRN-9454"/>
    <x v="96"/>
    <x v="4"/>
    <s v=" EMP-0402 "/>
    <s v="PROMO-00"/>
    <s v="Mobile Payment"/>
    <n v="524"/>
    <s v="2022-09-05"/>
    <x v="8"/>
    <x v="4"/>
    <x v="0"/>
    <s v="Known Employee"/>
    <n v="6"/>
  </r>
  <r>
    <s v="TRN-9853"/>
    <x v="97"/>
    <x v="4"/>
    <s v=" EMP-0401 "/>
    <s v="PROMO-00"/>
    <s v="Credit Card"/>
    <n v="55"/>
    <s v="2022-09-08"/>
    <x v="8"/>
    <x v="4"/>
    <x v="0"/>
    <s v="Known Employee"/>
    <n v="6"/>
  </r>
  <r>
    <s v="TRN-9753"/>
    <x v="98"/>
    <x v="2"/>
    <s v="EMP-0301"/>
    <s v="PROMO-00"/>
    <s v="Cash"/>
    <n v="285"/>
    <s v="2022-09-09"/>
    <x v="8"/>
    <x v="4"/>
    <x v="0"/>
    <s v="Known Employee"/>
    <n v="4"/>
  </r>
  <r>
    <s v="TRN-9704"/>
    <x v="99"/>
    <x v="2"/>
    <s v="EMP-0301"/>
    <s v="PROMO-00"/>
    <s v="Cash"/>
    <n v="525"/>
    <s v="2022-09-11"/>
    <x v="8"/>
    <x v="4"/>
    <x v="0"/>
    <s v="Known Employee"/>
    <n v="6"/>
  </r>
  <r>
    <s v="TRN-9501"/>
    <x v="100"/>
    <x v="4"/>
    <s v="EMP-0404"/>
    <s v="PROMO-03"/>
    <s v="Mobile Payment"/>
    <n v="193.8"/>
    <s v="2022-09-11"/>
    <x v="8"/>
    <x v="4"/>
    <x v="0"/>
    <s v="Known Employee"/>
    <n v="4"/>
  </r>
  <r>
    <s v="TRN-9399"/>
    <x v="101"/>
    <x v="2"/>
    <s v="EMP-0305"/>
    <s v="PROMO-01"/>
    <s v="Credit Card"/>
    <n v="565.25"/>
    <s v="2022-09-14"/>
    <x v="8"/>
    <x v="4"/>
    <x v="0"/>
    <s v="Known Employee"/>
    <n v="4"/>
  </r>
  <r>
    <s v="TRN-9607"/>
    <x v="102"/>
    <x v="2"/>
    <s v="EMP-0302"/>
    <s v="PROMO-00"/>
    <s v="Debit Card"/>
    <n v="361"/>
    <s v="2022-09-15"/>
    <x v="8"/>
    <x v="4"/>
    <x v="0"/>
    <s v="Known Employee"/>
    <n v="5"/>
  </r>
  <r>
    <s v="TRN-9797"/>
    <x v="11"/>
    <x v="3"/>
    <s v="EMP-0201"/>
    <s v="PROMO-00"/>
    <s v="Credit Card"/>
    <n v="330"/>
    <s v="2022-09-15"/>
    <x v="8"/>
    <x v="4"/>
    <x v="0"/>
    <s v="Known Employee"/>
    <n v="8"/>
  </r>
  <r>
    <s v="TRN-9373"/>
    <x v="10"/>
    <x v="2"/>
    <s v="EMP-0305"/>
    <s v="PROMO-00"/>
    <s v="Debit Card"/>
    <n v="340"/>
    <s v="2022-09-15"/>
    <x v="8"/>
    <x v="4"/>
    <x v="0"/>
    <s v="Known Employee"/>
    <n v="3"/>
  </r>
  <r>
    <s v="TRN-9549"/>
    <x v="41"/>
    <x v="8"/>
    <s v="EMP-0405"/>
    <s v="PROMO-03"/>
    <s v="Credit Card"/>
    <n v="413.25"/>
    <s v="2022-09-16"/>
    <x v="8"/>
    <x v="4"/>
    <x v="0"/>
    <s v="Known Employee"/>
    <n v="4"/>
  </r>
  <r>
    <s v="TRN-9510"/>
    <x v="103"/>
    <x v="1"/>
    <s v="EMP-0104"/>
    <s v=" PROMO-00 "/>
    <s v="Unknown"/>
    <n v="285"/>
    <s v="2022-09-19"/>
    <x v="8"/>
    <x v="4"/>
    <x v="0"/>
    <s v="Known Employee"/>
    <n v="1"/>
  </r>
  <r>
    <s v="TRN-9754"/>
    <x v="104"/>
    <x v="4"/>
    <s v=" EMP-0403 "/>
    <s v="PROMO-00"/>
    <s v="Debit Card"/>
    <n v="493"/>
    <s v="2022-09-22"/>
    <x v="8"/>
    <x v="4"/>
    <x v="0"/>
    <s v="Known Employee"/>
    <n v="6"/>
  </r>
  <r>
    <s v=" TRN-9787 "/>
    <x v="105"/>
    <x v="3"/>
    <s v="EMP-0203"/>
    <s v="PROMO-00"/>
    <s v="Debit Card"/>
    <n v="116"/>
    <s v="2022-09-25"/>
    <x v="8"/>
    <x v="4"/>
    <x v="0"/>
    <s v="Known Employee"/>
    <n v="4"/>
  </r>
  <r>
    <s v="TRN-9017"/>
    <x v="78"/>
    <x v="1"/>
    <s v="EMP-0105"/>
    <s v="PROMO-00"/>
    <s v="Mobile Payment"/>
    <n v="220"/>
    <s v="2022-09-26"/>
    <x v="8"/>
    <x v="4"/>
    <x v="0"/>
    <s v="Known Employee"/>
    <n v="7"/>
  </r>
  <r>
    <s v="TRN-9689"/>
    <x v="106"/>
    <x v="4"/>
    <s v="EMP-0403"/>
    <s v=" PROMO-00 "/>
    <s v="Cash"/>
    <n v="204"/>
    <s v="2022-09-28"/>
    <x v="8"/>
    <x v="4"/>
    <x v="0"/>
    <s v="Known Employee"/>
    <n v="5"/>
  </r>
  <r>
    <s v="TRN-9918"/>
    <x v="74"/>
    <x v="4"/>
    <s v="EMP-0401"/>
    <s v="PROMO-00"/>
    <s v="Credit Card"/>
    <n v="420"/>
    <s v="2022-09-30"/>
    <x v="8"/>
    <x v="4"/>
    <x v="0"/>
    <s v="Known Employee"/>
    <n v="8"/>
  </r>
  <r>
    <s v="TRN-9123"/>
    <x v="107"/>
    <x v="1"/>
    <s v="Unknown"/>
    <s v="PROMO-00"/>
    <s v="Cash"/>
    <n v="390"/>
    <s v="2022-10-03"/>
    <x v="9"/>
    <x v="5"/>
    <x v="0"/>
    <s v="UnKnown Employee"/>
    <n v="4"/>
  </r>
  <r>
    <s v="TRN-9793"/>
    <x v="108"/>
    <x v="2"/>
    <s v="EMP-0303"/>
    <s v=" PROMO-02 "/>
    <s v="Cash"/>
    <n v="207"/>
    <s v="2022-10-06"/>
    <x v="9"/>
    <x v="5"/>
    <x v="0"/>
    <s v="Known Employee"/>
    <n v="4"/>
  </r>
  <r>
    <s v="TRN-9580"/>
    <x v="99"/>
    <x v="2"/>
    <s v="EMP-0305"/>
    <s v="PROMO-01"/>
    <s v="Debit Card"/>
    <n v="221"/>
    <s v="2022-10-07"/>
    <x v="9"/>
    <x v="5"/>
    <x v="0"/>
    <s v="Known Employee"/>
    <n v="6"/>
  </r>
  <r>
    <s v="TRN-9105"/>
    <x v="109"/>
    <x v="4"/>
    <s v="EMP-0405"/>
    <s v="PROMO-00"/>
    <s v="Mobile Payment"/>
    <n v="745"/>
    <s v="2022-10-08"/>
    <x v="9"/>
    <x v="5"/>
    <x v="0"/>
    <s v="Known Employee"/>
    <n v="4"/>
  </r>
  <r>
    <s v="TRN-9381"/>
    <x v="107"/>
    <x v="3"/>
    <s v="EMP-0205"/>
    <s v="PROMO-00"/>
    <s v="Cash"/>
    <n v="415"/>
    <s v="2022-10-09"/>
    <x v="9"/>
    <x v="5"/>
    <x v="0"/>
    <s v="Known Employee"/>
    <n v="4"/>
  </r>
  <r>
    <s v="TRN-9836"/>
    <x v="59"/>
    <x v="2"/>
    <s v="EMP-0304"/>
    <s v="PROMO-00"/>
    <s v="Debit Card"/>
    <n v="642"/>
    <s v="2022-10-10"/>
    <x v="9"/>
    <x v="5"/>
    <x v="0"/>
    <s v="Known Employee"/>
    <n v="5"/>
  </r>
  <r>
    <s v="TRN-9808"/>
    <x v="110"/>
    <x v="1"/>
    <s v="Unknown"/>
    <s v=" PROMO-03 "/>
    <s v="Credit Card"/>
    <n v="460.75"/>
    <s v="2022-10-10"/>
    <x v="9"/>
    <x v="5"/>
    <x v="0"/>
    <s v="UnKnown Employee"/>
    <n v="3"/>
  </r>
  <r>
    <s v="TRN-9771"/>
    <x v="15"/>
    <x v="3"/>
    <s v="EMP-0203"/>
    <s v="PROMO-00"/>
    <s v=" Cash "/>
    <n v="605"/>
    <s v="2022-10-14"/>
    <x v="9"/>
    <x v="5"/>
    <x v="0"/>
    <s v="Known Employee"/>
    <n v="7"/>
  </r>
  <r>
    <s v="TRN-9657"/>
    <x v="102"/>
    <x v="1"/>
    <s v="EMP-0104"/>
    <s v="PROMO-00"/>
    <s v="Mobile Payment"/>
    <n v="628"/>
    <s v="2022-10-18"/>
    <x v="9"/>
    <x v="5"/>
    <x v="0"/>
    <s v="Known Employee"/>
    <n v="5"/>
  </r>
  <r>
    <s v="TRN-9035"/>
    <x v="111"/>
    <x v="3"/>
    <s v="EMP-0202"/>
    <s v="PROMO-00"/>
    <s v="Debit Card"/>
    <n v="183"/>
    <s v="2022-10-21"/>
    <x v="9"/>
    <x v="5"/>
    <x v="0"/>
    <s v="Known Employee"/>
    <n v="5"/>
  </r>
  <r>
    <s v="TRN-9970"/>
    <x v="112"/>
    <x v="8"/>
    <s v="EMP-0403"/>
    <s v="PROMO-00"/>
    <s v="Mobile Payment"/>
    <n v="295"/>
    <s v="2022-11-02"/>
    <x v="10"/>
    <x v="5"/>
    <x v="0"/>
    <s v="Known Employee"/>
    <n v="6"/>
  </r>
  <r>
    <s v="TRN-9778"/>
    <x v="97"/>
    <x v="4"/>
    <s v="EMP-0404"/>
    <s v="PROMO-00"/>
    <s v="Debit Card"/>
    <n v="70"/>
    <s v="2022-11-04"/>
    <x v="10"/>
    <x v="5"/>
    <x v="0"/>
    <s v="Known Employee"/>
    <n v="6"/>
  </r>
  <r>
    <s v="TRN-9602"/>
    <x v="0"/>
    <x v="3"/>
    <s v="EMP-0203"/>
    <s v="PROMO-00"/>
    <s v="Cash"/>
    <n v="181"/>
    <s v="2022-11-04"/>
    <x v="10"/>
    <x v="5"/>
    <x v="0"/>
    <s v="Known Employee"/>
    <n v="6"/>
  </r>
  <r>
    <s v="TRN-9556"/>
    <x v="94"/>
    <x v="4"/>
    <s v="EMP-0405"/>
    <s v=" PROMO-00 "/>
    <s v="Credit Card"/>
    <n v="175"/>
    <s v="2022-11-05"/>
    <x v="10"/>
    <x v="5"/>
    <x v="0"/>
    <s v="Known Employee"/>
    <n v="3"/>
  </r>
  <r>
    <s v="TRN-9930"/>
    <x v="99"/>
    <x v="3"/>
    <s v="EMP-0202"/>
    <s v="PROMO-00"/>
    <s v="Cash"/>
    <n v="650"/>
    <s v="2022-11-06"/>
    <x v="10"/>
    <x v="5"/>
    <x v="0"/>
    <s v="Known Employee"/>
    <n v="6"/>
  </r>
  <r>
    <s v="TRN-9851"/>
    <x v="113"/>
    <x v="4"/>
    <s v="EMP-0404"/>
    <s v="PROMO-00"/>
    <s v="Mobile Payment"/>
    <n v="316"/>
    <s v="2022-11-08"/>
    <x v="10"/>
    <x v="5"/>
    <x v="0"/>
    <s v="Known Employee"/>
    <n v="1"/>
  </r>
  <r>
    <s v="TRN-9386"/>
    <x v="114"/>
    <x v="1"/>
    <s v="EMP-0104"/>
    <s v="PROMO-00"/>
    <s v="Mobile Payment"/>
    <n v="581"/>
    <s v="2022-11-09"/>
    <x v="10"/>
    <x v="5"/>
    <x v="0"/>
    <s v="Known Employee"/>
    <n v="4"/>
  </r>
  <r>
    <s v="TRN-9141"/>
    <x v="58"/>
    <x v="3"/>
    <s v="EMP-0204"/>
    <s v="PROMO-00"/>
    <s v="Cash"/>
    <n v="605"/>
    <s v="2022-11-10"/>
    <x v="10"/>
    <x v="5"/>
    <x v="0"/>
    <s v="Known Employee"/>
    <n v="7"/>
  </r>
  <r>
    <s v="TRN-9827"/>
    <x v="24"/>
    <x v="2"/>
    <s v="EMP-0303"/>
    <s v="PROMO-00"/>
    <s v="Cash"/>
    <n v="445"/>
    <s v="2022-11-13"/>
    <x v="10"/>
    <x v="5"/>
    <x v="0"/>
    <s v="Known Employee"/>
    <n v="8"/>
  </r>
  <r>
    <s v="TRN-9703"/>
    <x v="24"/>
    <x v="4"/>
    <s v="EMP-0402"/>
    <s v="PROMO-00"/>
    <s v="Credit Card"/>
    <n v="720"/>
    <s v="2022-11-14"/>
    <x v="10"/>
    <x v="5"/>
    <x v="0"/>
    <s v="Known Employee"/>
    <n v="8"/>
  </r>
  <r>
    <s v="TRN-9789"/>
    <x v="74"/>
    <x v="8"/>
    <s v="EMP-0403"/>
    <s v="PROMO-03"/>
    <s v="Cash"/>
    <n v="193.8"/>
    <s v="2022-11-16"/>
    <x v="10"/>
    <x v="5"/>
    <x v="0"/>
    <s v="Known Employee"/>
    <n v="8"/>
  </r>
  <r>
    <s v="TRN-9641"/>
    <x v="115"/>
    <x v="2"/>
    <s v="Unknown"/>
    <s v="PROMO-00"/>
    <s v="Debit Card"/>
    <n v="437"/>
    <s v="2022-11-16"/>
    <x v="10"/>
    <x v="5"/>
    <x v="0"/>
    <s v="UnKnown Employee"/>
    <n v="2"/>
  </r>
  <r>
    <s v="TRN-9222"/>
    <x v="112"/>
    <x v="3"/>
    <s v="EMP-0204"/>
    <s v="PROMO-00"/>
    <s v="Mobile Payment"/>
    <n v="475"/>
    <s v="2022-11-17"/>
    <x v="10"/>
    <x v="5"/>
    <x v="0"/>
    <s v="Known Employee"/>
    <n v="6"/>
  </r>
  <r>
    <s v="TRN-9312"/>
    <x v="105"/>
    <x v="1"/>
    <s v="EMP-0102"/>
    <s v="PROMO-03"/>
    <s v="Credit Card"/>
    <n v="55.1"/>
    <s v="2022-11-21"/>
    <x v="10"/>
    <x v="5"/>
    <x v="0"/>
    <s v="Known Employee"/>
    <n v="4"/>
  </r>
  <r>
    <s v="TRN-9106"/>
    <x v="97"/>
    <x v="1"/>
    <s v="EMP-0105"/>
    <s v="PROMO-00"/>
    <s v="Cash"/>
    <n v="434"/>
    <s v="2022-11-22"/>
    <x v="10"/>
    <x v="5"/>
    <x v="0"/>
    <s v="Known Employee"/>
    <n v="6"/>
  </r>
  <r>
    <s v="TRN-9530"/>
    <x v="86"/>
    <x v="4"/>
    <s v="EMP-0405"/>
    <s v="PROMO-03"/>
    <s v="Debit Card"/>
    <n v="221.35"/>
    <s v="2022-12-02"/>
    <x v="11"/>
    <x v="1"/>
    <x v="0"/>
    <s v="Known Employee"/>
    <n v="5"/>
  </r>
  <r>
    <s v="TRN-9904"/>
    <x v="16"/>
    <x v="4"/>
    <s v="EMP-0401"/>
    <s v="PROMO-03"/>
    <s v="Debit Card"/>
    <n v="294.5"/>
    <s v="2022-12-07"/>
    <x v="11"/>
    <x v="1"/>
    <x v="0"/>
    <s v="Known Employee"/>
    <n v="4"/>
  </r>
  <r>
    <s v="TRN-9407"/>
    <x v="45"/>
    <x v="3"/>
    <s v="EMP-0203"/>
    <s v="PROMO-01"/>
    <s v="Cash"/>
    <n v="153"/>
    <s v="2022-12-08"/>
    <x v="11"/>
    <x v="1"/>
    <x v="0"/>
    <s v="Known Employee"/>
    <n v="4"/>
  </r>
  <r>
    <s v="TRN-9074"/>
    <x v="116"/>
    <x v="4"/>
    <s v="EMP-0405"/>
    <s v="PROMO-00"/>
    <s v="Debit Card"/>
    <n v="300"/>
    <s v="2022-12-09"/>
    <x v="11"/>
    <x v="1"/>
    <x v="0"/>
    <s v="Known Employee"/>
    <n v="1"/>
  </r>
  <r>
    <s v="TRN-9559"/>
    <x v="117"/>
    <x v="4"/>
    <s v="EMP-0402"/>
    <s v="PROMO-00"/>
    <s v="Unknown"/>
    <n v="360"/>
    <s v="2022-12-11"/>
    <x v="11"/>
    <x v="1"/>
    <x v="0"/>
    <s v="Known Employee"/>
    <n v="6"/>
  </r>
  <r>
    <s v="TRN-9700"/>
    <x v="66"/>
    <x v="3"/>
    <s v="EMP-0205"/>
    <s v="No Promotion"/>
    <s v="Mobile Payment"/>
    <n v="160"/>
    <s v="2022-12-12"/>
    <x v="11"/>
    <x v="1"/>
    <x v="1"/>
    <s v="Known Employee"/>
    <n v="6"/>
  </r>
  <r>
    <s v="TRN-9976"/>
    <x v="118"/>
    <x v="4"/>
    <s v="EMP-0401"/>
    <s v="PROMO-01"/>
    <s v="Debit Card"/>
    <n v="548.25"/>
    <s v="2022-12-12"/>
    <x v="11"/>
    <x v="1"/>
    <x v="0"/>
    <s v="Known Employee"/>
    <n v="4"/>
  </r>
  <r>
    <s v="TRN-9498"/>
    <x v="119"/>
    <x v="4"/>
    <s v="EMP-0404"/>
    <s v="PROMO-00"/>
    <s v="Debit Card"/>
    <n v="204"/>
    <s v="2022-12-12"/>
    <x v="11"/>
    <x v="1"/>
    <x v="0"/>
    <s v="Known Employee"/>
    <n v="5"/>
  </r>
  <r>
    <s v="TRN-9101"/>
    <x v="0"/>
    <x v="1"/>
    <s v="EMP-0103"/>
    <s v="PROMO-00"/>
    <s v="Credit Card"/>
    <n v="116"/>
    <s v="2022-12-14"/>
    <x v="11"/>
    <x v="1"/>
    <x v="0"/>
    <s v="Known Employee"/>
    <n v="6"/>
  </r>
  <r>
    <s v="TRN-9911"/>
    <x v="60"/>
    <x v="3"/>
    <s v="EMP-0205"/>
    <s v="PROMO-01"/>
    <s v="Credit Card"/>
    <n v="370.6"/>
    <s v="2022-12-22"/>
    <x v="11"/>
    <x v="1"/>
    <x v="0"/>
    <s v="Known Employee"/>
    <n v="4"/>
  </r>
  <r>
    <s v="TRN-9164"/>
    <x v="29"/>
    <x v="3"/>
    <s v="EMP-0204"/>
    <s v="PROMO-03"/>
    <s v="Mobile Payment"/>
    <n v="674.5"/>
    <s v="2022-12-23"/>
    <x v="11"/>
    <x v="1"/>
    <x v="0"/>
    <s v="Known Employee"/>
    <n v="4"/>
  </r>
  <r>
    <s v="TRN-9881"/>
    <x v="38"/>
    <x v="2"/>
    <s v="EMP-0302"/>
    <s v="No Promotion"/>
    <s v="Debit Card"/>
    <n v="55"/>
    <s v="2022-12-25"/>
    <x v="11"/>
    <x v="1"/>
    <x v="1"/>
    <s v="Known Employee"/>
    <n v="5"/>
  </r>
  <r>
    <s v="TRN-9165"/>
    <x v="120"/>
    <x v="3"/>
    <s v=" EMP-0202 "/>
    <s v="PROMO-00"/>
    <s v="Debit Card"/>
    <n v="335"/>
    <s v="2022-12-28"/>
    <x v="11"/>
    <x v="1"/>
    <x v="0"/>
    <s v="Known Employee"/>
    <n v="3"/>
  </r>
  <r>
    <s v="TRN-9436"/>
    <x v="121"/>
    <x v="3"/>
    <s v="EMP-0204"/>
    <s v="PROMO-00"/>
    <s v="Debit Card"/>
    <n v="493"/>
    <s v="2022-12-29"/>
    <x v="11"/>
    <x v="1"/>
    <x v="0"/>
    <s v="Known Employee"/>
    <n v="3"/>
  </r>
  <r>
    <s v="TRN-9279"/>
    <x v="22"/>
    <x v="3"/>
    <s v="EMP-0205"/>
    <s v="PROMO-00"/>
    <s v="Unknown"/>
    <n v="453"/>
    <s v="2022-12-29"/>
    <x v="11"/>
    <x v="1"/>
    <x v="0"/>
    <s v="Known Employee"/>
    <n v="3"/>
  </r>
  <r>
    <s v="TRN-9612"/>
    <x v="122"/>
    <x v="2"/>
    <s v="EMP-0303"/>
    <s v="PROMO-00"/>
    <s v="Mobile Payment"/>
    <n v="68"/>
    <s v="2022-12-30"/>
    <x v="11"/>
    <x v="1"/>
    <x v="0"/>
    <s v="Known Employee"/>
    <n v="5"/>
  </r>
  <r>
    <s v="TRN-9426"/>
    <x v="78"/>
    <x v="4"/>
    <s v="EMP-0403"/>
    <s v="PROMO-02"/>
    <s v="Credit Card"/>
    <n v="590.4"/>
    <s v="2022-12-31"/>
    <x v="11"/>
    <x v="1"/>
    <x v="0"/>
    <s v="Known Employee"/>
    <n v="7"/>
  </r>
  <r>
    <s v="TRN-9119"/>
    <x v="56"/>
    <x v="2"/>
    <s v="EMP-0304"/>
    <s v="PROMO-00"/>
    <s v="Mobile Payment"/>
    <n v="210"/>
    <s v="2023-01-02"/>
    <x v="0"/>
    <x v="0"/>
    <x v="0"/>
    <s v="Known Employee"/>
    <n v="3"/>
  </r>
  <r>
    <s v="TRN-9339"/>
    <x v="123"/>
    <x v="3"/>
    <s v="EMP-0202"/>
    <s v="PROMO-01"/>
    <s v="Debit Card"/>
    <n v="136"/>
    <s v="2023-01-04"/>
    <x v="0"/>
    <x v="0"/>
    <x v="0"/>
    <s v="Known Employee"/>
    <n v="5"/>
  </r>
  <r>
    <s v="TRN-9013"/>
    <x v="55"/>
    <x v="2"/>
    <s v="EMP-0303"/>
    <s v=" PROMO-00 "/>
    <s v="Debit Card"/>
    <n v="305"/>
    <s v="2023-01-05"/>
    <x v="0"/>
    <x v="0"/>
    <x v="0"/>
    <s v="Known Employee"/>
    <n v="5"/>
  </r>
  <r>
    <s v="TRN-9297"/>
    <x v="124"/>
    <x v="2"/>
    <s v="EMP-0302"/>
    <s v="PROMO-00"/>
    <s v="Credit Card"/>
    <n v="190"/>
    <s v="2023-01-06"/>
    <x v="0"/>
    <x v="0"/>
    <x v="0"/>
    <s v="Known Employee"/>
    <n v="4"/>
  </r>
  <r>
    <s v="TRN-9944"/>
    <x v="106"/>
    <x v="3"/>
    <s v="EMP-0203"/>
    <s v="PROMO-00"/>
    <s v="Debit Card"/>
    <n v="195"/>
    <s v="2023-01-09"/>
    <x v="0"/>
    <x v="0"/>
    <x v="0"/>
    <s v="Known Employee"/>
    <n v="5"/>
  </r>
  <r>
    <s v="TRN-9458"/>
    <x v="85"/>
    <x v="3"/>
    <s v="EMP-0204"/>
    <s v="PROMO-00"/>
    <s v="Debit Card"/>
    <n v="210"/>
    <s v="2023-01-09"/>
    <x v="0"/>
    <x v="0"/>
    <x v="0"/>
    <s v="Known Employee"/>
    <n v="4"/>
  </r>
  <r>
    <s v="TRN-9223"/>
    <x v="125"/>
    <x v="1"/>
    <s v="EMP-0101"/>
    <s v="PROMO-00"/>
    <s v="Debit Card"/>
    <n v="170"/>
    <s v="2023-01-10"/>
    <x v="0"/>
    <x v="0"/>
    <x v="0"/>
    <s v="Known Employee"/>
    <n v="4"/>
  </r>
  <r>
    <s v="TRN-9867"/>
    <x v="13"/>
    <x v="4"/>
    <s v="EMP-0402"/>
    <s v="PROMO-00"/>
    <s v="Cash"/>
    <n v="260"/>
    <s v="2023-01-12"/>
    <x v="0"/>
    <x v="0"/>
    <x v="0"/>
    <s v="Known Employee"/>
    <n v="4"/>
  </r>
  <r>
    <s v="TRN-9931"/>
    <x v="48"/>
    <x v="4"/>
    <s v="EMP-0402"/>
    <s v="PROMO-00"/>
    <s v="Debit Card"/>
    <n v="195"/>
    <s v="2023-01-18"/>
    <x v="0"/>
    <x v="0"/>
    <x v="0"/>
    <s v="Known Employee"/>
    <n v="4"/>
  </r>
  <r>
    <s v="TRN-9129"/>
    <x v="58"/>
    <x v="3"/>
    <s v="EMP-0202"/>
    <s v="PROMO-03"/>
    <s v="Debit Card"/>
    <n v="288.8"/>
    <s v="2023-01-20"/>
    <x v="0"/>
    <x v="0"/>
    <x v="0"/>
    <s v="Known Employee"/>
    <n v="7"/>
  </r>
  <r>
    <s v="TRN-9540"/>
    <x v="77"/>
    <x v="3"/>
    <s v="Unknown"/>
    <s v="PROMO-00"/>
    <s v="Cash"/>
    <n v="460"/>
    <s v="2023-01-22"/>
    <x v="0"/>
    <x v="0"/>
    <x v="0"/>
    <s v="UnKnown Employee"/>
    <n v="3"/>
  </r>
  <r>
    <s v="TRN-9229"/>
    <x v="126"/>
    <x v="2"/>
    <s v="EMP-0303"/>
    <s v="PROMO-00"/>
    <s v="Mobile Payment"/>
    <n v="648"/>
    <s v="2023-01-26"/>
    <x v="0"/>
    <x v="0"/>
    <x v="0"/>
    <s v="Known Employee"/>
    <n v="5"/>
  </r>
  <r>
    <s v="TRN-9394"/>
    <x v="58"/>
    <x v="4"/>
    <s v="EMP-0403"/>
    <s v="PROMO-00"/>
    <s v="Mobile Payment"/>
    <n v="348"/>
    <s v="2023-01-27"/>
    <x v="0"/>
    <x v="0"/>
    <x v="0"/>
    <s v="Known Employee"/>
    <n v="7"/>
  </r>
  <r>
    <s v="TRN-9254"/>
    <x v="87"/>
    <x v="3"/>
    <s v="EMP-0202"/>
    <s v="PROMO-02"/>
    <s v="Debit Card"/>
    <n v="360"/>
    <s v="2023-02-03"/>
    <x v="1"/>
    <x v="1"/>
    <x v="0"/>
    <s v="Known Employee"/>
    <n v="2"/>
  </r>
  <r>
    <s v="TRN-9459"/>
    <x v="23"/>
    <x v="2"/>
    <s v="EMP-0305"/>
    <s v=" PROMO-03 "/>
    <s v="Cash"/>
    <n v="483.55"/>
    <s v="2023-02-03"/>
    <x v="1"/>
    <x v="1"/>
    <x v="0"/>
    <s v="Known Employee"/>
    <n v="4"/>
  </r>
  <r>
    <s v="TRN-9523"/>
    <x v="108"/>
    <x v="1"/>
    <s v="EMP-0103"/>
    <s v="PROMO-00"/>
    <s v="Debit Card"/>
    <n v="275"/>
    <s v="2023-02-06"/>
    <x v="1"/>
    <x v="1"/>
    <x v="0"/>
    <s v="Known Employee"/>
    <n v="4"/>
  </r>
  <r>
    <s v="TRN-9449"/>
    <x v="17"/>
    <x v="0"/>
    <s v="EMP-0203"/>
    <s v="PROMO-00"/>
    <s v="Cash"/>
    <n v="65"/>
    <s v="2023-02-07"/>
    <x v="1"/>
    <x v="1"/>
    <x v="0"/>
    <s v="Known Employee"/>
    <n v="6"/>
  </r>
  <r>
    <s v="TRN-9343"/>
    <x v="90"/>
    <x v="0"/>
    <s v="EMP-0201"/>
    <s v="PROMO-03"/>
    <s v="Mobile Payment"/>
    <n v="231.8"/>
    <s v="2023-02-07"/>
    <x v="1"/>
    <x v="1"/>
    <x v="0"/>
    <s v="Known Employee"/>
    <n v="7"/>
  </r>
  <r>
    <s v="TRN-9283"/>
    <x v="83"/>
    <x v="2"/>
    <s v="EMP-0301"/>
    <s v="PROMO-00"/>
    <s v="Credit Card"/>
    <n v="426"/>
    <s v="2023-02-07"/>
    <x v="1"/>
    <x v="1"/>
    <x v="0"/>
    <s v="Known Employee"/>
    <n v="3"/>
  </r>
  <r>
    <s v="TRN-9732"/>
    <x v="127"/>
    <x v="1"/>
    <s v="EMP-0101"/>
    <s v="No Promotion"/>
    <s v="Cash"/>
    <n v="120"/>
    <s v="2023-02-09"/>
    <x v="1"/>
    <x v="1"/>
    <x v="1"/>
    <s v="Known Employee"/>
    <n v="3"/>
  </r>
  <r>
    <s v="TRN-9117"/>
    <x v="2"/>
    <x v="1"/>
    <s v="EMP-0103"/>
    <s v="PROMO-00"/>
    <s v="Mobile Payment"/>
    <n v="130"/>
    <s v="2023-02-10"/>
    <x v="1"/>
    <x v="1"/>
    <x v="0"/>
    <s v="Known Employee"/>
    <n v="5"/>
  </r>
  <r>
    <s v="TRN-9537"/>
    <x v="128"/>
    <x v="6"/>
    <s v="EMP-0203"/>
    <s v="PROMO-03"/>
    <s v="Credit Card"/>
    <n v="494"/>
    <s v="2023-02-13"/>
    <x v="1"/>
    <x v="1"/>
    <x v="0"/>
    <s v="Known Employee"/>
    <n v="6"/>
  </r>
  <r>
    <s v="TRN-9975"/>
    <x v="8"/>
    <x v="4"/>
    <s v="EMP-0401"/>
    <s v="PROMO-00"/>
    <s v="Cash"/>
    <n v="120"/>
    <s v="2023-02-14"/>
    <x v="1"/>
    <x v="1"/>
    <x v="0"/>
    <s v="Known Employee"/>
    <n v="7"/>
  </r>
  <r>
    <s v="TRN-9848"/>
    <x v="46"/>
    <x v="3"/>
    <s v="EMP-0203"/>
    <s v=" PROMO-00 "/>
    <s v="Mobile Payment"/>
    <n v="435"/>
    <s v="2023-02-16"/>
    <x v="1"/>
    <x v="1"/>
    <x v="0"/>
    <s v="Known Employee"/>
    <n v="3"/>
  </r>
  <r>
    <s v="TRN-9679"/>
    <x v="15"/>
    <x v="4"/>
    <s v="EMP-0405"/>
    <s v="PROMO-03"/>
    <s v="Cash"/>
    <n v="180.5"/>
    <s v="2023-02-18"/>
    <x v="1"/>
    <x v="1"/>
    <x v="0"/>
    <s v="Known Employee"/>
    <n v="7"/>
  </r>
  <r>
    <s v="TRN-9299"/>
    <x v="4"/>
    <x v="4"/>
    <s v="EMP-0402"/>
    <s v="PROMO-00"/>
    <s v="Credit Card"/>
    <n v="120"/>
    <s v="2023-02-19"/>
    <x v="1"/>
    <x v="1"/>
    <x v="0"/>
    <s v="Known Employee"/>
    <n v="2"/>
  </r>
  <r>
    <s v="TRN-9907"/>
    <x v="129"/>
    <x v="2"/>
    <s v="EMP-0302"/>
    <s v="PROMO-00"/>
    <s v="Mobile Payment"/>
    <n v="280"/>
    <s v="2023-02-20"/>
    <x v="1"/>
    <x v="1"/>
    <x v="0"/>
    <s v="Known Employee"/>
    <n v="1"/>
  </r>
  <r>
    <s v="TRN-9631"/>
    <x v="130"/>
    <x v="1"/>
    <s v="EMP-0102"/>
    <s v="PROMO-00"/>
    <s v="Mobile Payment"/>
    <n v="260"/>
    <s v="2023-02-20"/>
    <x v="1"/>
    <x v="1"/>
    <x v="0"/>
    <s v="Known Employee"/>
    <n v="4"/>
  </r>
  <r>
    <s v="TRN-9488"/>
    <x v="3"/>
    <x v="7"/>
    <s v="EMP-0302"/>
    <s v="PROMO-00"/>
    <s v="Mobile Payment"/>
    <n v="460"/>
    <s v="2023-02-21"/>
    <x v="1"/>
    <x v="1"/>
    <x v="0"/>
    <s v="Known Employee"/>
    <n v="8"/>
  </r>
  <r>
    <s v="TRN-9566"/>
    <x v="69"/>
    <x v="2"/>
    <s v="EMP-0303"/>
    <s v="PROMO-00"/>
    <s v="Mobile Payment"/>
    <n v="456"/>
    <s v="2023-02-24"/>
    <x v="1"/>
    <x v="1"/>
    <x v="0"/>
    <s v="Known Employee"/>
    <n v="7"/>
  </r>
  <r>
    <s v="TRN-9403"/>
    <x v="131"/>
    <x v="2"/>
    <s v="EMP-0305"/>
    <s v="PROMO-01"/>
    <s v="Debit Card"/>
    <n v="416.5"/>
    <s v="2023-02-25"/>
    <x v="1"/>
    <x v="1"/>
    <x v="0"/>
    <s v="Known Employee"/>
    <n v="3"/>
  </r>
  <r>
    <s v="TRN-9604"/>
    <x v="93"/>
    <x v="1"/>
    <s v="EMP-0102"/>
    <s v="No Promotion"/>
    <s v=" Cash "/>
    <n v="625"/>
    <s v="2023-02-26"/>
    <x v="1"/>
    <x v="1"/>
    <x v="1"/>
    <s v="Known Employee"/>
    <n v="5"/>
  </r>
  <r>
    <s v="TRN-9832"/>
    <x v="132"/>
    <x v="7"/>
    <s v="EMP-0304"/>
    <s v="PROMO-00"/>
    <s v="Cash"/>
    <n v="130"/>
    <s v="2023-02-26"/>
    <x v="1"/>
    <x v="1"/>
    <x v="0"/>
    <s v="Known Employee"/>
    <n v="3"/>
  </r>
  <r>
    <s v="TRN-9041"/>
    <x v="68"/>
    <x v="3"/>
    <s v="EMP-0201"/>
    <s v="PROMO-00"/>
    <s v=" Credit Card "/>
    <n v="136"/>
    <s v="2023-03-02"/>
    <x v="2"/>
    <x v="2"/>
    <x v="0"/>
    <s v="Known Employee"/>
    <n v="4"/>
  </r>
  <r>
    <s v="TRN-9656"/>
    <x v="39"/>
    <x v="1"/>
    <s v="EMP-0102"/>
    <s v="PROMO-00"/>
    <s v="Debit Card"/>
    <n v="204"/>
    <s v="2023-03-04"/>
    <x v="2"/>
    <x v="2"/>
    <x v="0"/>
    <s v="Known Employee"/>
    <n v="6"/>
  </r>
  <r>
    <s v="TRN-9889"/>
    <x v="133"/>
    <x v="2"/>
    <s v="EMP-0304"/>
    <s v="PROMO-02"/>
    <s v="Credit Card"/>
    <n v="411.3"/>
    <s v="2023-03-05"/>
    <x v="2"/>
    <x v="2"/>
    <x v="0"/>
    <s v="Known Employee"/>
    <n v="5"/>
  </r>
  <r>
    <s v="TRN-9941"/>
    <x v="74"/>
    <x v="4"/>
    <s v="Unknown"/>
    <s v="PROMO-00"/>
    <s v="Credit Card"/>
    <n v="80"/>
    <s v="2023-03-07"/>
    <x v="2"/>
    <x v="2"/>
    <x v="0"/>
    <s v="UnKnown Employee"/>
    <n v="8"/>
  </r>
  <r>
    <s v="TRN-9926"/>
    <x v="107"/>
    <x v="2"/>
    <s v=" EMP-0301 "/>
    <s v="PROMO-00"/>
    <s v="Debit Card"/>
    <n v="120"/>
    <s v="2023-03-07"/>
    <x v="2"/>
    <x v="2"/>
    <x v="0"/>
    <s v="Known Employee"/>
    <n v="4"/>
  </r>
  <r>
    <s v="TRN-9209"/>
    <x v="134"/>
    <x v="1"/>
    <s v="EMP-0103"/>
    <s v="PROMO-00"/>
    <s v="Mobile Payment"/>
    <n v="513"/>
    <s v="2023-03-08"/>
    <x v="2"/>
    <x v="2"/>
    <x v="0"/>
    <s v="Known Employee"/>
    <n v="1"/>
  </r>
  <r>
    <s v="TRN-9453"/>
    <x v="111"/>
    <x v="4"/>
    <s v="EMP-0402"/>
    <s v="PROMO-00"/>
    <s v="Debit Card"/>
    <n v="481"/>
    <s v="2023-03-11"/>
    <x v="2"/>
    <x v="2"/>
    <x v="0"/>
    <s v="Known Employee"/>
    <n v="5"/>
  </r>
  <r>
    <s v="TRN-9937"/>
    <x v="17"/>
    <x v="3"/>
    <s v="EMP-0205"/>
    <s v=" PROMO-00 "/>
    <s v="Debit Card"/>
    <n v="664"/>
    <s v="2023-03-13"/>
    <x v="2"/>
    <x v="2"/>
    <x v="0"/>
    <s v="Known Employee"/>
    <n v="6"/>
  </r>
  <r>
    <s v="TRN-9470"/>
    <x v="32"/>
    <x v="2"/>
    <s v="EMP-0302"/>
    <s v="PROMO-00"/>
    <s v="Unknown"/>
    <n v="395"/>
    <s v="2023-03-14"/>
    <x v="2"/>
    <x v="2"/>
    <x v="0"/>
    <s v="Known Employee"/>
    <n v="6"/>
  </r>
  <r>
    <s v="TRN-9162"/>
    <x v="52"/>
    <x v="4"/>
    <s v="EMP-0401"/>
    <s v="PROMO-00"/>
    <s v="Mobile Payment"/>
    <n v="235"/>
    <s v="2023-03-14"/>
    <x v="2"/>
    <x v="2"/>
    <x v="0"/>
    <s v="Known Employee"/>
    <n v="4"/>
  </r>
  <r>
    <s v="TRN-9804"/>
    <x v="124"/>
    <x v="3"/>
    <s v="EMP-0202"/>
    <s v="PROMO-00"/>
    <s v="Debit Card"/>
    <n v="50"/>
    <s v="2023-03-14"/>
    <x v="2"/>
    <x v="2"/>
    <x v="0"/>
    <s v="Known Employee"/>
    <n v="4"/>
  </r>
  <r>
    <s v="TRN-9626"/>
    <x v="85"/>
    <x v="4"/>
    <s v="EMP-0401"/>
    <s v="PROMO-03"/>
    <s v="Cash"/>
    <n v="302.10000000000002"/>
    <s v="2023-03-14"/>
    <x v="2"/>
    <x v="2"/>
    <x v="0"/>
    <s v="Known Employee"/>
    <n v="4"/>
  </r>
  <r>
    <s v="TRN-9933"/>
    <x v="44"/>
    <x v="1"/>
    <s v="EMP-0101"/>
    <s v="PROMO-00"/>
    <s v="Debit Card"/>
    <n v="750"/>
    <s v="2023-03-16"/>
    <x v="2"/>
    <x v="2"/>
    <x v="0"/>
    <s v="Known Employee"/>
    <n v="5"/>
  </r>
  <r>
    <s v="TRN-9964"/>
    <x v="135"/>
    <x v="2"/>
    <s v="EMP-0303"/>
    <s v="PROMO-00"/>
    <s v="Credit Card"/>
    <n v="230"/>
    <s v="2023-03-17"/>
    <x v="2"/>
    <x v="2"/>
    <x v="0"/>
    <s v="Known Employee"/>
    <n v="1"/>
  </r>
  <r>
    <s v="TRN-9858"/>
    <x v="136"/>
    <x v="2"/>
    <s v="EMP-0305"/>
    <s v=" PROMO-01 "/>
    <s v="Debit Card"/>
    <n v="487.9"/>
    <s v="2023-03-18"/>
    <x v="2"/>
    <x v="2"/>
    <x v="0"/>
    <s v="Known Employee"/>
    <n v="4"/>
  </r>
  <r>
    <s v="TRN-9777"/>
    <x v="137"/>
    <x v="4"/>
    <s v="EMP-0405"/>
    <s v="PROMO-00"/>
    <s v="Mobile Payment"/>
    <n v="268"/>
    <s v="2023-03-20"/>
    <x v="2"/>
    <x v="2"/>
    <x v="0"/>
    <s v="Known Employee"/>
    <n v="2"/>
  </r>
  <r>
    <s v="TRN-9599"/>
    <x v="27"/>
    <x v="3"/>
    <s v="EMP-0204"/>
    <s v="PROMO-01"/>
    <s v="Cash"/>
    <n v="232.9"/>
    <s v="2023-03-23"/>
    <x v="2"/>
    <x v="2"/>
    <x v="0"/>
    <s v="Known Employee"/>
    <n v="6"/>
  </r>
  <r>
    <s v="TRN-9902"/>
    <x v="138"/>
    <x v="4"/>
    <s v="EMP-0405"/>
    <s v="PROMO-00"/>
    <s v="Debit Card"/>
    <n v="426"/>
    <s v="2023-03-24"/>
    <x v="2"/>
    <x v="2"/>
    <x v="0"/>
    <s v="Known Employee"/>
    <n v="1"/>
  </r>
  <r>
    <s v=" TRN-9188 "/>
    <x v="36"/>
    <x v="2"/>
    <s v="EMP-0302"/>
    <s v="PROMO-00"/>
    <s v=" Debit Card "/>
    <n v="649"/>
    <s v="2023-04-04"/>
    <x v="3"/>
    <x v="1"/>
    <x v="0"/>
    <s v="Known Employee"/>
    <n v="9"/>
  </r>
  <r>
    <s v="TRN-9271"/>
    <x v="139"/>
    <x v="3"/>
    <s v="EMP-0204"/>
    <s v="PROMO-03"/>
    <s v="Credit Card"/>
    <n v="422.75"/>
    <s v="2023-04-04"/>
    <x v="3"/>
    <x v="1"/>
    <x v="0"/>
    <s v="Known Employee"/>
    <n v="3"/>
  </r>
  <r>
    <s v="TRN-9838"/>
    <x v="78"/>
    <x v="6"/>
    <s v="EMP-0203"/>
    <s v="PROMO-00"/>
    <s v="Credit Card"/>
    <n v="595"/>
    <s v="2023-04-06"/>
    <x v="3"/>
    <x v="1"/>
    <x v="0"/>
    <s v="Known Employee"/>
    <n v="7"/>
  </r>
  <r>
    <s v="TRN-9131"/>
    <x v="140"/>
    <x v="1"/>
    <s v="EMP-0101"/>
    <s v=" PROMO-00 "/>
    <s v="Mobile Payment"/>
    <n v="534"/>
    <s v="2023-04-08"/>
    <x v="3"/>
    <x v="1"/>
    <x v="0"/>
    <s v="Known Employee"/>
    <n v="4"/>
  </r>
  <r>
    <s v="TRN-9948"/>
    <x v="141"/>
    <x v="3"/>
    <s v="EMP-0205"/>
    <s v="PROMO-00"/>
    <s v=" Credit Card "/>
    <n v="390"/>
    <s v="2023-04-10"/>
    <x v="3"/>
    <x v="1"/>
    <x v="0"/>
    <s v="Known Employee"/>
    <n v="2"/>
  </r>
  <r>
    <s v="TRN-9393"/>
    <x v="122"/>
    <x v="1"/>
    <s v="EMP-0104"/>
    <s v="PROMO-00"/>
    <s v="Mobile Payment"/>
    <n v="165"/>
    <s v="2023-05-01"/>
    <x v="4"/>
    <x v="1"/>
    <x v="0"/>
    <s v="Known Employee"/>
    <n v="5"/>
  </r>
  <r>
    <s v="TRN-9460"/>
    <x v="40"/>
    <x v="4"/>
    <s v="EMP-0405"/>
    <s v="PROMO-00"/>
    <s v="Unknown"/>
    <n v="360"/>
    <s v="2023-05-05"/>
    <x v="4"/>
    <x v="1"/>
    <x v="0"/>
    <s v="Known Employee"/>
    <n v="3"/>
  </r>
  <r>
    <s v="TRN-9550"/>
    <x v="69"/>
    <x v="3"/>
    <s v="EMP-0205"/>
    <s v="PROMO-00"/>
    <s v="Credit Card"/>
    <n v="395"/>
    <s v="2023-05-07"/>
    <x v="4"/>
    <x v="1"/>
    <x v="0"/>
    <s v="Known Employee"/>
    <n v="7"/>
  </r>
  <r>
    <s v="TRN-9029"/>
    <x v="142"/>
    <x v="1"/>
    <s v="EMP-0101"/>
    <s v="PROMO-00"/>
    <s v="Cash"/>
    <n v="351"/>
    <s v="2023-05-08"/>
    <x v="4"/>
    <x v="1"/>
    <x v="0"/>
    <s v="Known Employee"/>
    <n v="3"/>
  </r>
  <r>
    <s v="TRN-9190"/>
    <x v="42"/>
    <x v="4"/>
    <s v=" EMP-0405 "/>
    <s v=" PROMO-00 "/>
    <s v="Debit Card"/>
    <n v="160"/>
    <s v="2023-05-09"/>
    <x v="4"/>
    <x v="1"/>
    <x v="0"/>
    <s v="Known Employee"/>
    <n v="5"/>
  </r>
  <r>
    <s v="TRN-9803"/>
    <x v="69"/>
    <x v="3"/>
    <s v="EMP-0203"/>
    <s v="PROMO-00"/>
    <s v="Mobile Payment"/>
    <n v="430"/>
    <s v="2023-05-10"/>
    <x v="4"/>
    <x v="1"/>
    <x v="0"/>
    <s v="Known Employee"/>
    <n v="7"/>
  </r>
  <r>
    <s v="TRN-9006"/>
    <x v="143"/>
    <x v="1"/>
    <s v="EMP-0102"/>
    <s v="PROMO-02"/>
    <s v="Mobile Payment"/>
    <n v="693"/>
    <s v="2023-05-12"/>
    <x v="4"/>
    <x v="1"/>
    <x v="0"/>
    <s v="Known Employee"/>
    <n v="2"/>
  </r>
  <r>
    <s v="TRN-9638"/>
    <x v="144"/>
    <x v="2"/>
    <s v=" EMP-0305 "/>
    <s v="PROMO-00"/>
    <s v="Cash"/>
    <n v="239"/>
    <s v="2023-05-12"/>
    <x v="4"/>
    <x v="1"/>
    <x v="0"/>
    <s v="Known Employee"/>
    <n v="6"/>
  </r>
  <r>
    <s v=" TRN-9885 "/>
    <x v="16"/>
    <x v="3"/>
    <s v="EMP-0205"/>
    <s v="PROMO-00"/>
    <s v="Debit Card"/>
    <n v="255"/>
    <s v="2023-05-14"/>
    <x v="4"/>
    <x v="1"/>
    <x v="0"/>
    <s v="Known Employee"/>
    <n v="4"/>
  </r>
  <r>
    <s v="TRN-9281"/>
    <x v="139"/>
    <x v="3"/>
    <s v="EMP-0205"/>
    <s v="PROMO-03"/>
    <s v="Cash"/>
    <n v="165.3"/>
    <s v="2023-05-17"/>
    <x v="4"/>
    <x v="1"/>
    <x v="0"/>
    <s v="Known Employee"/>
    <n v="3"/>
  </r>
  <r>
    <s v="TRN-9301"/>
    <x v="145"/>
    <x v="0"/>
    <s v="EMP-0304"/>
    <s v="PROMO-00"/>
    <s v="Mobile Payment"/>
    <n v="85"/>
    <s v="2023-05-17"/>
    <x v="4"/>
    <x v="1"/>
    <x v="0"/>
    <s v="Known Employee"/>
    <n v="2"/>
  </r>
  <r>
    <s v="TRN-9088"/>
    <x v="36"/>
    <x v="4"/>
    <s v="EMP-0403"/>
    <s v="No Promotion"/>
    <s v="Mobile Payment"/>
    <n v="334"/>
    <s v="2023-05-18"/>
    <x v="4"/>
    <x v="1"/>
    <x v="1"/>
    <s v="Known Employee"/>
    <n v="9"/>
  </r>
  <r>
    <s v="TRN-9432"/>
    <x v="69"/>
    <x v="1"/>
    <s v="EMP-0102"/>
    <s v="PROMO-00"/>
    <s v="Credit Card"/>
    <n v="670"/>
    <s v="2023-05-21"/>
    <x v="4"/>
    <x v="1"/>
    <x v="0"/>
    <s v="Known Employee"/>
    <n v="7"/>
  </r>
  <r>
    <s v="TRN-9765"/>
    <x v="24"/>
    <x v="1"/>
    <s v="Unknown"/>
    <s v="PROMO-01"/>
    <s v="Cash"/>
    <n v="242.25"/>
    <s v="2023-05-24"/>
    <x v="4"/>
    <x v="1"/>
    <x v="0"/>
    <s v="UnKnown Employee"/>
    <n v="8"/>
  </r>
  <r>
    <s v="TRN-9413"/>
    <x v="101"/>
    <x v="3"/>
    <s v="EMP-0202"/>
    <s v="PROMO-00"/>
    <s v="Mobile Payment"/>
    <n v="543"/>
    <s v="2023-05-25"/>
    <x v="4"/>
    <x v="1"/>
    <x v="0"/>
    <s v="Known Employee"/>
    <n v="4"/>
  </r>
  <r>
    <s v=" TRN-9686 "/>
    <x v="101"/>
    <x v="2"/>
    <s v="EMP-0303"/>
    <s v="PROMO-00"/>
    <s v="Debit Card"/>
    <n v="455"/>
    <s v="2023-05-28"/>
    <x v="4"/>
    <x v="1"/>
    <x v="0"/>
    <s v="Known Employee"/>
    <n v="4"/>
  </r>
  <r>
    <s v="TRN-9146"/>
    <x v="71"/>
    <x v="2"/>
    <s v="EMP-0303"/>
    <s v="PROMO-01"/>
    <s v="Mobile Payment"/>
    <n v="233.75"/>
    <s v="2023-05-31"/>
    <x v="4"/>
    <x v="1"/>
    <x v="0"/>
    <s v="Known Employee"/>
    <n v="5"/>
  </r>
  <r>
    <s v=" TRN-9354 "/>
    <x v="128"/>
    <x v="4"/>
    <s v="EMP-0402"/>
    <s v="PROMO-00"/>
    <s v="Credit Card"/>
    <n v="170"/>
    <s v="2023-06-02"/>
    <x v="5"/>
    <x v="1"/>
    <x v="0"/>
    <s v="Known Employee"/>
    <n v="6"/>
  </r>
  <r>
    <s v="TRN-9160"/>
    <x v="146"/>
    <x v="2"/>
    <s v="EMP-0304"/>
    <s v="PROMO-02"/>
    <s v="Cash"/>
    <n v="104.4"/>
    <s v="2023-06-03"/>
    <x v="5"/>
    <x v="1"/>
    <x v="0"/>
    <s v="Known Employee"/>
    <n v="3"/>
  </r>
  <r>
    <s v="TRN-9835"/>
    <x v="121"/>
    <x v="4"/>
    <s v="EMP-0405"/>
    <s v="PROMO-00"/>
    <s v="Mobile Payment"/>
    <n v="174"/>
    <s v="2023-06-04"/>
    <x v="5"/>
    <x v="1"/>
    <x v="0"/>
    <s v="Known Employee"/>
    <n v="3"/>
  </r>
  <r>
    <s v="TRN-9158"/>
    <x v="76"/>
    <x v="3"/>
    <s v="EMP-0202"/>
    <s v="PROMO-00"/>
    <s v="Debit Card"/>
    <n v="421"/>
    <s v="2023-06-04"/>
    <x v="5"/>
    <x v="1"/>
    <x v="0"/>
    <s v="Known Employee"/>
    <n v="3"/>
  </r>
  <r>
    <s v="TRN-9541"/>
    <x v="70"/>
    <x v="4"/>
    <s v=" EMP-0401 "/>
    <s v="PROMO-03"/>
    <s v=" Mobile Payment "/>
    <n v="243.2"/>
    <s v="2023-06-04"/>
    <x v="5"/>
    <x v="1"/>
    <x v="0"/>
    <s v="Known Employee"/>
    <n v="4"/>
  </r>
  <r>
    <s v="TRN-9811"/>
    <x v="12"/>
    <x v="3"/>
    <s v="EMP-0201"/>
    <s v="PROMO-02"/>
    <s v="Unknown"/>
    <n v="135"/>
    <s v="2023-06-06"/>
    <x v="5"/>
    <x v="1"/>
    <x v="0"/>
    <s v="Known Employee"/>
    <n v="8"/>
  </r>
  <r>
    <s v="TRN-9711"/>
    <x v="147"/>
    <x v="1"/>
    <s v="EMP-0103"/>
    <s v="PROMO-02"/>
    <s v="Debit Card"/>
    <n v="383.4"/>
    <s v="2023-06-08"/>
    <x v="5"/>
    <x v="1"/>
    <x v="0"/>
    <s v="Known Employee"/>
    <n v="4"/>
  </r>
  <r>
    <s v="TRN-9577"/>
    <x v="43"/>
    <x v="4"/>
    <s v="EMP-0401"/>
    <s v="PROMO-00"/>
    <s v="Mobile Payment"/>
    <n v="745"/>
    <s v="2023-06-10"/>
    <x v="5"/>
    <x v="1"/>
    <x v="0"/>
    <s v="Known Employee"/>
    <n v="4"/>
  </r>
  <r>
    <s v="TRN-9327"/>
    <x v="34"/>
    <x v="7"/>
    <s v="EMP-0302"/>
    <s v="PROMO-00"/>
    <s v="Cash"/>
    <n v="140"/>
    <s v="2023-06-11"/>
    <x v="5"/>
    <x v="1"/>
    <x v="0"/>
    <s v="Known Employee"/>
    <n v="4"/>
  </r>
  <r>
    <s v="TRN-9524"/>
    <x v="148"/>
    <x v="2"/>
    <s v="EMP-0302"/>
    <s v="PROMO-00"/>
    <s v="Cash"/>
    <n v="705"/>
    <s v="2023-06-12"/>
    <x v="5"/>
    <x v="1"/>
    <x v="0"/>
    <s v="Known Employee"/>
    <n v="4"/>
  </r>
  <r>
    <s v="TRN-9875"/>
    <x v="149"/>
    <x v="2"/>
    <s v="EMP-0302"/>
    <s v="PROMO-00"/>
    <s v="Debit Card"/>
    <n v="555"/>
    <s v="2023-06-14"/>
    <x v="5"/>
    <x v="1"/>
    <x v="0"/>
    <s v="Known Employee"/>
    <n v="1"/>
  </r>
  <r>
    <s v="TRN-9870"/>
    <x v="96"/>
    <x v="4"/>
    <s v="EMP-0403"/>
    <s v="PROMO-02"/>
    <s v=" Mobile Payment "/>
    <n v="390.6"/>
    <s v="2023-06-18"/>
    <x v="5"/>
    <x v="1"/>
    <x v="0"/>
    <s v="Known Employee"/>
    <n v="6"/>
  </r>
  <r>
    <s v="#N/A"/>
    <x v="150"/>
    <x v="1"/>
    <s v="EMP-0104"/>
    <s v="PROMO-00"/>
    <s v="Mobile Payment"/>
    <n v="536"/>
    <s v="2023-06-20"/>
    <x v="5"/>
    <x v="1"/>
    <x v="0"/>
    <s v="Known Employee"/>
    <n v="5"/>
  </r>
  <r>
    <s v="TRN-9226"/>
    <x v="10"/>
    <x v="3"/>
    <s v="EMP-0201"/>
    <s v="PROMO-00"/>
    <s v="Credit Card"/>
    <n v="226"/>
    <s v="2023-06-20"/>
    <x v="5"/>
    <x v="1"/>
    <x v="0"/>
    <s v="Known Employee"/>
    <n v="3"/>
  </r>
  <r>
    <s v="TRN-9321"/>
    <x v="24"/>
    <x v="2"/>
    <s v=" EMP-0303 "/>
    <s v="PROMO-00"/>
    <s v="Debit Card"/>
    <n v="529"/>
    <s v="2023-06-22"/>
    <x v="5"/>
    <x v="1"/>
    <x v="0"/>
    <s v="Known Employee"/>
    <n v="8"/>
  </r>
  <r>
    <s v="TRN-9609"/>
    <x v="133"/>
    <x v="3"/>
    <s v="EMP-0204"/>
    <s v="PROMO-00"/>
    <s v="Debit Card"/>
    <n v="65"/>
    <s v="2023-06-27"/>
    <x v="5"/>
    <x v="1"/>
    <x v="0"/>
    <s v="Known Employee"/>
    <n v="5"/>
  </r>
  <r>
    <s v=" TRN-9369 "/>
    <x v="151"/>
    <x v="2"/>
    <s v="EMP-0305"/>
    <s v="PROMO-00"/>
    <s v=" Debit Card "/>
    <n v="453"/>
    <s v="2023-07-01"/>
    <x v="6"/>
    <x v="1"/>
    <x v="0"/>
    <s v="Known Employee"/>
    <n v="1"/>
  </r>
  <r>
    <s v="TRN-9071"/>
    <x v="39"/>
    <x v="1"/>
    <s v="EMP-0101"/>
    <s v="PROMO-00"/>
    <s v="Debit Card"/>
    <n v="478"/>
    <s v="2023-07-04"/>
    <x v="6"/>
    <x v="1"/>
    <x v="0"/>
    <s v="Known Employee"/>
    <n v="6"/>
  </r>
  <r>
    <s v="TRN-9038"/>
    <x v="152"/>
    <x v="2"/>
    <s v="EMP-0302"/>
    <s v="PROMO-00"/>
    <s v=" Credit Card "/>
    <n v="195"/>
    <s v="2023-07-04"/>
    <x v="6"/>
    <x v="1"/>
    <x v="0"/>
    <s v="Known Employee"/>
    <n v="3"/>
  </r>
  <r>
    <s v="TRN-9830"/>
    <x v="82"/>
    <x v="1"/>
    <s v="EMP-0103"/>
    <s v="PROMO-01"/>
    <s v="Cash"/>
    <n v="404.6"/>
    <s v="2023-07-05"/>
    <x v="6"/>
    <x v="1"/>
    <x v="0"/>
    <s v="Known Employee"/>
    <n v="3"/>
  </r>
  <r>
    <s v="TRN-9564"/>
    <x v="153"/>
    <x v="4"/>
    <s v=" EMP-0401 "/>
    <s v="PROMO-00"/>
    <s v="Debit Card"/>
    <n v="230"/>
    <s v="2023-07-07"/>
    <x v="6"/>
    <x v="1"/>
    <x v="0"/>
    <s v="Known Employee"/>
    <n v="2"/>
  </r>
  <r>
    <s v="TRN-9837"/>
    <x v="42"/>
    <x v="3"/>
    <s v="EMP-0201"/>
    <s v="PROMO-00"/>
    <s v="Debit Card"/>
    <n v="420"/>
    <s v="2023-07-08"/>
    <x v="6"/>
    <x v="1"/>
    <x v="0"/>
    <s v="Known Employee"/>
    <n v="5"/>
  </r>
  <r>
    <s v="TRN-9880"/>
    <x v="154"/>
    <x v="2"/>
    <s v="EMP-0305"/>
    <s v="PROMO-01"/>
    <s v="Debit Card"/>
    <n v="429.25"/>
    <s v="2023-07-11"/>
    <x v="6"/>
    <x v="1"/>
    <x v="0"/>
    <s v="Known Employee"/>
    <n v="7"/>
  </r>
  <r>
    <s v="TRN-9385"/>
    <x v="152"/>
    <x v="2"/>
    <s v="EMP-0303"/>
    <s v="PROMO-00"/>
    <s v="Debit Card"/>
    <n v="350"/>
    <s v="2023-07-12"/>
    <x v="6"/>
    <x v="1"/>
    <x v="0"/>
    <s v="Known Employee"/>
    <n v="3"/>
  </r>
  <r>
    <s v="TRN-9574"/>
    <x v="155"/>
    <x v="2"/>
    <s v=" EMP-0305 "/>
    <s v="PROMO-00"/>
    <s v="Debit Card"/>
    <n v="248"/>
    <s v="2023-07-13"/>
    <x v="6"/>
    <x v="1"/>
    <x v="0"/>
    <s v="Known Employee"/>
    <n v="3"/>
  </r>
  <r>
    <s v="TRN-9285"/>
    <x v="156"/>
    <x v="1"/>
    <s v="EMP-0102"/>
    <s v="PROMO-00"/>
    <s v="Debit Card"/>
    <n v="290"/>
    <s v="2023-07-17"/>
    <x v="6"/>
    <x v="1"/>
    <x v="0"/>
    <s v="Known Employee"/>
    <n v="3"/>
  </r>
  <r>
    <s v="TRN-9251"/>
    <x v="86"/>
    <x v="1"/>
    <s v="EMP-0101"/>
    <s v="PROMO-00"/>
    <s v="Credit Card"/>
    <n v="455"/>
    <s v="2023-07-18"/>
    <x v="6"/>
    <x v="1"/>
    <x v="0"/>
    <s v="Known Employee"/>
    <n v="5"/>
  </r>
  <r>
    <s v="TRN-9243"/>
    <x v="85"/>
    <x v="2"/>
    <s v="EMP-0302"/>
    <s v="PROMO-00"/>
    <s v="Cash"/>
    <n v="386"/>
    <s v="2023-07-23"/>
    <x v="6"/>
    <x v="1"/>
    <x v="0"/>
    <s v="Known Employee"/>
    <n v="4"/>
  </r>
  <r>
    <s v=" TRN-9520 "/>
    <x v="127"/>
    <x v="2"/>
    <s v="EMP-0301"/>
    <s v="PROMO-00"/>
    <s v="Debit Card"/>
    <n v="266"/>
    <s v="2023-07-24"/>
    <x v="6"/>
    <x v="1"/>
    <x v="0"/>
    <s v="Known Employee"/>
    <n v="3"/>
  </r>
  <r>
    <s v="TRN-9315"/>
    <x v="66"/>
    <x v="4"/>
    <s v="EMP-0404"/>
    <s v="PROMO-00"/>
    <s v="Mobile Payment"/>
    <n v="55"/>
    <s v="2023-07-27"/>
    <x v="6"/>
    <x v="1"/>
    <x v="0"/>
    <s v="Known Employee"/>
    <n v="6"/>
  </r>
  <r>
    <s v="TRN-9233"/>
    <x v="157"/>
    <x v="3"/>
    <s v="EMP-0202"/>
    <s v="PROMO-02"/>
    <s v="Credit Card"/>
    <n v="104.4"/>
    <s v="2023-07-27"/>
    <x v="6"/>
    <x v="1"/>
    <x v="0"/>
    <s v="Known Employee"/>
    <n v="2"/>
  </r>
  <r>
    <s v="TRN-9335"/>
    <x v="123"/>
    <x v="4"/>
    <s v="EMP-0401"/>
    <s v="PROMO-00"/>
    <s v="Mobile Payment"/>
    <n v="543"/>
    <s v="2023-07-27"/>
    <x v="6"/>
    <x v="1"/>
    <x v="0"/>
    <s v="Known Employee"/>
    <n v="5"/>
  </r>
  <r>
    <s v="TRN-9057"/>
    <x v="3"/>
    <x v="3"/>
    <s v="EMP-0201"/>
    <s v="PROMO-00"/>
    <s v=" Mobile Payment "/>
    <n v="675"/>
    <s v="2023-07-28"/>
    <x v="6"/>
    <x v="1"/>
    <x v="0"/>
    <s v="Known Employee"/>
    <n v="8"/>
  </r>
  <r>
    <s v="TRN-9792"/>
    <x v="158"/>
    <x v="1"/>
    <s v="EMP-0102"/>
    <s v="PROMO-00"/>
    <s v="Cash"/>
    <n v="370"/>
    <s v="2023-07-30"/>
    <x v="6"/>
    <x v="1"/>
    <x v="0"/>
    <s v="Known Employee"/>
    <n v="3"/>
  </r>
  <r>
    <s v="TRN-9800"/>
    <x v="159"/>
    <x v="2"/>
    <s v="EMP-0302"/>
    <s v="PROMO-00"/>
    <s v="Cash"/>
    <n v="118"/>
    <s v="2023-08-08"/>
    <x v="7"/>
    <x v="3"/>
    <x v="0"/>
    <s v="Known Employee"/>
    <n v="1"/>
  </r>
  <r>
    <s v="TRN-9080"/>
    <x v="28"/>
    <x v="3"/>
    <s v="EMP-0204"/>
    <s v="PROMO-00"/>
    <s v="Cash"/>
    <n v="455"/>
    <s v="2023-08-09"/>
    <x v="7"/>
    <x v="3"/>
    <x v="0"/>
    <s v="Known Employee"/>
    <n v="8"/>
  </r>
  <r>
    <s v="TRN-9457"/>
    <x v="160"/>
    <x v="4"/>
    <s v="EMP-0403"/>
    <s v="No Promotion"/>
    <s v="Cash"/>
    <n v="80"/>
    <s v="2023-08-10"/>
    <x v="7"/>
    <x v="3"/>
    <x v="1"/>
    <s v="Known Employee"/>
    <n v="3"/>
  </r>
  <r>
    <s v="TRN-9905"/>
    <x v="119"/>
    <x v="4"/>
    <s v="EMP-0401"/>
    <s v="PROMO-00"/>
    <s v="Debit Card"/>
    <n v="415"/>
    <s v="2023-08-10"/>
    <x v="7"/>
    <x v="3"/>
    <x v="0"/>
    <s v="Known Employee"/>
    <n v="5"/>
  </r>
  <r>
    <s v="TRN-9421"/>
    <x v="80"/>
    <x v="4"/>
    <s v="EMP-0404"/>
    <s v="PROMO-00"/>
    <s v="Debit Card"/>
    <n v="195"/>
    <s v="2023-08-12"/>
    <x v="7"/>
    <x v="3"/>
    <x v="0"/>
    <s v="Known Employee"/>
    <n v="2"/>
  </r>
  <r>
    <s v="TRN-9220"/>
    <x v="161"/>
    <x v="4"/>
    <s v="EMP-0403"/>
    <s v="PROMO-02"/>
    <s v="Mobile Payment"/>
    <n v="544.5"/>
    <s v="2023-08-21"/>
    <x v="7"/>
    <x v="3"/>
    <x v="0"/>
    <s v="Known Employee"/>
    <n v="4"/>
  </r>
  <r>
    <s v="TRN-9516"/>
    <x v="128"/>
    <x v="1"/>
    <s v="EMP-0103"/>
    <s v="PROMO-00"/>
    <s v="Mobile Payment"/>
    <n v="440"/>
    <s v="2023-08-22"/>
    <x v="7"/>
    <x v="3"/>
    <x v="0"/>
    <s v="Known Employee"/>
    <n v="6"/>
  </r>
  <r>
    <s v="TRN-9007"/>
    <x v="131"/>
    <x v="4"/>
    <s v="EMP-0405"/>
    <s v="PROMO-00"/>
    <s v="Unknown"/>
    <n v="260"/>
    <s v="2023-08-24"/>
    <x v="7"/>
    <x v="3"/>
    <x v="0"/>
    <s v="Known Employee"/>
    <n v="3"/>
  </r>
  <r>
    <s v="TRN-9443"/>
    <x v="96"/>
    <x v="1"/>
    <s v="EMP-0103"/>
    <s v="PROMO-02"/>
    <s v="Unknown"/>
    <n v="215.1"/>
    <s v="2023-08-25"/>
    <x v="7"/>
    <x v="3"/>
    <x v="0"/>
    <s v="Known Employee"/>
    <n v="6"/>
  </r>
  <r>
    <s v="TRN-9128"/>
    <x v="46"/>
    <x v="2"/>
    <s v="EMP-0303"/>
    <s v="PROMO-00"/>
    <s v="Debit Card"/>
    <n v="531"/>
    <s v="2023-08-26"/>
    <x v="7"/>
    <x v="3"/>
    <x v="0"/>
    <s v="Known Employee"/>
    <n v="3"/>
  </r>
  <r>
    <s v=" TRN-9592 "/>
    <x v="54"/>
    <x v="4"/>
    <s v="EMP-0402"/>
    <s v="PROMO-01"/>
    <s v="Mobile Payment"/>
    <n v="469.2"/>
    <s v="2023-08-30"/>
    <x v="7"/>
    <x v="3"/>
    <x v="0"/>
    <s v="Known Employee"/>
    <n v="3"/>
  </r>
  <r>
    <s v="TRN-9696"/>
    <x v="18"/>
    <x v="3"/>
    <s v="EMP-0205"/>
    <s v="PROMO-00"/>
    <s v="Credit Card"/>
    <n v="70"/>
    <s v="2023-08-30"/>
    <x v="7"/>
    <x v="3"/>
    <x v="0"/>
    <s v="Known Employee"/>
    <n v="5"/>
  </r>
  <r>
    <s v=" TRN-9204 "/>
    <x v="51"/>
    <x v="3"/>
    <s v="EMP-0203"/>
    <s v="PROMO-00"/>
    <s v="Debit Card"/>
    <n v="140"/>
    <s v="2023-09-01"/>
    <x v="8"/>
    <x v="4"/>
    <x v="0"/>
    <s v="Known Employee"/>
    <n v="3"/>
  </r>
  <r>
    <s v="TRN-9558"/>
    <x v="59"/>
    <x v="3"/>
    <s v=" EMP-0205 "/>
    <s v="No Promotion"/>
    <s v="Debit Card"/>
    <n v="47.5"/>
    <s v="2023-09-02"/>
    <x v="8"/>
    <x v="4"/>
    <x v="1"/>
    <s v="Known Employee"/>
    <n v="5"/>
  </r>
  <r>
    <s v="TRN-9684"/>
    <x v="162"/>
    <x v="2"/>
    <s v="EMP-0304"/>
    <s v="PROMO-02"/>
    <s v="Debit Card"/>
    <n v="106.2"/>
    <s v="2023-09-04"/>
    <x v="8"/>
    <x v="4"/>
    <x v="0"/>
    <s v="Known Employee"/>
    <n v="1"/>
  </r>
  <r>
    <s v="TRN-9468"/>
    <x v="128"/>
    <x v="2"/>
    <s v="EMP-0301"/>
    <s v="No Promotion"/>
    <s v="Mobile Payment"/>
    <n v="633"/>
    <s v="2023-09-06"/>
    <x v="8"/>
    <x v="4"/>
    <x v="1"/>
    <s v="Known Employee"/>
    <n v="6"/>
  </r>
  <r>
    <s v="TRN-9790"/>
    <x v="142"/>
    <x v="4"/>
    <s v="EMP-0402"/>
    <s v="PROMO-00"/>
    <s v="Mobile Payment"/>
    <n v="334"/>
    <s v="2023-09-07"/>
    <x v="8"/>
    <x v="4"/>
    <x v="0"/>
    <s v="Known Employee"/>
    <n v="3"/>
  </r>
  <r>
    <s v="TRN-9085"/>
    <x v="21"/>
    <x v="4"/>
    <s v="EMP-0403"/>
    <s v="PROMO-02"/>
    <s v="Cash"/>
    <n v="273.60000000000002"/>
    <s v="2023-09-08"/>
    <x v="8"/>
    <x v="4"/>
    <x v="0"/>
    <s v="Known Employee"/>
    <n v="4"/>
  </r>
  <r>
    <s v="TRN-9368"/>
    <x v="127"/>
    <x v="2"/>
    <s v="EMP-0304"/>
    <s v="PROMO-00"/>
    <s v="Cash"/>
    <n v="280"/>
    <s v="2023-09-09"/>
    <x v="8"/>
    <x v="4"/>
    <x v="0"/>
    <s v="Known Employee"/>
    <n v="3"/>
  </r>
  <r>
    <s v="TRN-9774"/>
    <x v="117"/>
    <x v="4"/>
    <s v="EMP-0404"/>
    <s v="PROMO-01"/>
    <s v="Debit Card"/>
    <n v="153"/>
    <s v="2023-09-09"/>
    <x v="8"/>
    <x v="4"/>
    <x v="0"/>
    <s v="Known Employee"/>
    <n v="6"/>
  </r>
  <r>
    <s v="TRN-9236"/>
    <x v="100"/>
    <x v="3"/>
    <s v="EMP-0201"/>
    <s v="PROMO-02"/>
    <s v="Cash"/>
    <n v="385.2"/>
    <s v="2023-09-09"/>
    <x v="8"/>
    <x v="4"/>
    <x v="0"/>
    <s v="Known Employee"/>
    <n v="4"/>
  </r>
  <r>
    <s v="TRN-9474"/>
    <x v="163"/>
    <x v="1"/>
    <s v="EMP-0105"/>
    <s v="PROMO-02"/>
    <s v="Unknown"/>
    <n v="122.4"/>
    <s v="2023-09-11"/>
    <x v="8"/>
    <x v="4"/>
    <x v="0"/>
    <s v="Known Employee"/>
    <n v="4"/>
  </r>
  <r>
    <s v="TRN-9826"/>
    <x v="164"/>
    <x v="2"/>
    <s v="EMP-0304"/>
    <s v="PROMO-00"/>
    <s v=" Credit Card "/>
    <n v="588"/>
    <s v="2023-09-12"/>
    <x v="8"/>
    <x v="4"/>
    <x v="0"/>
    <s v="Known Employee"/>
    <n v="2"/>
  </r>
  <r>
    <s v="TRN-9856"/>
    <x v="8"/>
    <x v="1"/>
    <s v="Unknown"/>
    <s v="PROMO-00"/>
    <s v="Cash"/>
    <n v="540"/>
    <s v="2023-09-15"/>
    <x v="8"/>
    <x v="4"/>
    <x v="0"/>
    <s v="UnKnown Employee"/>
    <n v="7"/>
  </r>
  <r>
    <s v="TRN-9092"/>
    <x v="144"/>
    <x v="4"/>
    <s v="EMP-0404"/>
    <s v="PROMO-00"/>
    <s v="Credit Card"/>
    <n v="180"/>
    <s v="2023-09-15"/>
    <x v="8"/>
    <x v="4"/>
    <x v="0"/>
    <s v="Known Employee"/>
    <n v="6"/>
  </r>
  <r>
    <s v="TRN-9202"/>
    <x v="12"/>
    <x v="3"/>
    <s v="EMP-0205"/>
    <s v="PROMO-00"/>
    <s v=" Mobile Payment "/>
    <n v="110"/>
    <s v="2023-09-18"/>
    <x v="8"/>
    <x v="4"/>
    <x v="0"/>
    <s v="Known Employee"/>
    <n v="8"/>
  </r>
  <r>
    <s v="TRN-9979"/>
    <x v="126"/>
    <x v="2"/>
    <s v="EMP-0302"/>
    <s v="PROMO-00"/>
    <s v="Mobile Payment"/>
    <n v="320"/>
    <s v="2023-09-24"/>
    <x v="8"/>
    <x v="4"/>
    <x v="0"/>
    <s v="Known Employee"/>
    <n v="5"/>
  </r>
  <r>
    <s v="TRN-9687"/>
    <x v="165"/>
    <x v="1"/>
    <s v="EMP-0104"/>
    <s v="PROMO-00"/>
    <s v="Cash"/>
    <n v="464"/>
    <s v="2023-09-25"/>
    <x v="8"/>
    <x v="4"/>
    <x v="0"/>
    <s v="Known Employee"/>
    <n v="1"/>
  </r>
  <r>
    <s v="TRN-9463"/>
    <x v="163"/>
    <x v="3"/>
    <s v="EMP-0205"/>
    <s v="PROMO-00"/>
    <s v="Credit Card"/>
    <n v="508"/>
    <s v="2023-10-03"/>
    <x v="9"/>
    <x v="5"/>
    <x v="0"/>
    <s v="Known Employee"/>
    <n v="4"/>
  </r>
  <r>
    <s v="TRN-9825"/>
    <x v="99"/>
    <x v="0"/>
    <s v="EMP-0402"/>
    <s v="PROMO-00"/>
    <s v="Credit Card"/>
    <n v="145"/>
    <s v="2023-10-04"/>
    <x v="9"/>
    <x v="5"/>
    <x v="0"/>
    <s v="Known Employee"/>
    <n v="6"/>
  </r>
  <r>
    <s v="TRN-9877"/>
    <x v="119"/>
    <x v="2"/>
    <s v="EMP-0304"/>
    <s v="PROMO-02"/>
    <s v="Cash"/>
    <n v="72"/>
    <s v="2023-10-06"/>
    <x v="9"/>
    <x v="5"/>
    <x v="0"/>
    <s v="Known Employee"/>
    <n v="5"/>
  </r>
  <r>
    <s v="TRN-9218"/>
    <x v="39"/>
    <x v="5"/>
    <s v="EMP-0105"/>
    <s v="PROMO-01"/>
    <s v="Credit Card"/>
    <n v="178.5"/>
    <s v="2023-10-06"/>
    <x v="9"/>
    <x v="5"/>
    <x v="0"/>
    <s v="Known Employee"/>
    <n v="6"/>
  </r>
  <r>
    <s v="TRN-9576"/>
    <x v="166"/>
    <x v="4"/>
    <s v="EMP-0402"/>
    <s v="PROMO-00"/>
    <s v="Debit Card"/>
    <n v="715"/>
    <s v="2023-10-10"/>
    <x v="9"/>
    <x v="5"/>
    <x v="0"/>
    <s v="Known Employee"/>
    <n v="1"/>
  </r>
  <r>
    <s v="TRN-9376"/>
    <x v="59"/>
    <x v="4"/>
    <s v="EMP-0402"/>
    <s v="PROMO-00"/>
    <s v="Credit Card"/>
    <n v="233"/>
    <s v="2023-10-11"/>
    <x v="9"/>
    <x v="5"/>
    <x v="0"/>
    <s v="Known Employee"/>
    <n v="5"/>
  </r>
  <r>
    <s v="TRN-9960"/>
    <x v="167"/>
    <x v="2"/>
    <s v="EMP-0305"/>
    <s v="PROMO-00"/>
    <s v="Debit Card"/>
    <n v="366"/>
    <s v="2023-10-12"/>
    <x v="9"/>
    <x v="5"/>
    <x v="0"/>
    <s v="Known Employee"/>
    <n v="4"/>
  </r>
  <r>
    <s v="TRN-9706"/>
    <x v="168"/>
    <x v="4"/>
    <s v="EMP-0401"/>
    <s v="PROMO-00"/>
    <s v="Credit Card"/>
    <n v="323"/>
    <s v="2023-10-14"/>
    <x v="9"/>
    <x v="5"/>
    <x v="0"/>
    <s v="Known Employee"/>
    <n v="2"/>
  </r>
  <r>
    <s v="TRN-9170"/>
    <x v="57"/>
    <x v="4"/>
    <s v="EMP-0401"/>
    <s v="PROMO-00"/>
    <s v="Cash"/>
    <n v="729"/>
    <s v="2023-10-17"/>
    <x v="9"/>
    <x v="5"/>
    <x v="0"/>
    <s v="Known Employee"/>
    <n v="3"/>
  </r>
  <r>
    <s v="TRN-9643"/>
    <x v="167"/>
    <x v="4"/>
    <s v="Unknown"/>
    <s v="PROMO-00"/>
    <s v="Credit Card"/>
    <n v="100"/>
    <s v="2023-10-18"/>
    <x v="9"/>
    <x v="5"/>
    <x v="0"/>
    <s v="UnKnown Employee"/>
    <n v="4"/>
  </r>
  <r>
    <s v="TRN-9295"/>
    <x v="169"/>
    <x v="3"/>
    <s v="EMP-0203"/>
    <s v="PROMO-00"/>
    <s v="Debit Card"/>
    <n v="355"/>
    <s v="2023-10-20"/>
    <x v="9"/>
    <x v="5"/>
    <x v="0"/>
    <s v="Known Employee"/>
    <n v="5"/>
  </r>
  <r>
    <s v="TRN-9974"/>
    <x v="109"/>
    <x v="2"/>
    <s v="EMP-0303"/>
    <s v="PROMO-00"/>
    <s v="Credit Card"/>
    <n v="50"/>
    <s v="2023-10-23"/>
    <x v="9"/>
    <x v="5"/>
    <x v="0"/>
    <s v="Known Employee"/>
    <n v="4"/>
  </r>
  <r>
    <s v="TRN-9874"/>
    <x v="161"/>
    <x v="2"/>
    <s v="EMP-0301"/>
    <s v="PROMO-00"/>
    <s v="Cash"/>
    <n v="334"/>
    <s v="2023-10-27"/>
    <x v="9"/>
    <x v="5"/>
    <x v="0"/>
    <s v="Known Employee"/>
    <n v="4"/>
  </r>
  <r>
    <s v="TRN-9048"/>
    <x v="170"/>
    <x v="3"/>
    <s v="EMP-0204"/>
    <s v="PROMO-00"/>
    <s v="Debit Card"/>
    <n v="100"/>
    <s v="2023-10-30"/>
    <x v="9"/>
    <x v="5"/>
    <x v="0"/>
    <s v="Known Employee"/>
    <n v="3"/>
  </r>
  <r>
    <s v="TRN-9200"/>
    <x v="133"/>
    <x v="2"/>
    <s v="EMP-0302"/>
    <s v="PROMO-00"/>
    <s v=" Credit Card "/>
    <n v="170"/>
    <s v="2023-10-31"/>
    <x v="9"/>
    <x v="5"/>
    <x v="0"/>
    <s v="Known Employee"/>
    <n v="5"/>
  </r>
  <r>
    <s v="TRN-9600"/>
    <x v="43"/>
    <x v="4"/>
    <s v="EMP-0404"/>
    <s v="PROMO-00"/>
    <s v="Mobile Payment"/>
    <n v="140"/>
    <s v="2023-11-02"/>
    <x v="10"/>
    <x v="5"/>
    <x v="0"/>
    <s v="Known Employee"/>
    <n v="4"/>
  </r>
  <r>
    <s v="TRN-9958"/>
    <x v="171"/>
    <x v="3"/>
    <s v="EMP-0204"/>
    <s v="PROMO-00"/>
    <s v="Mobile Payment"/>
    <n v="240"/>
    <s v="2023-11-08"/>
    <x v="10"/>
    <x v="5"/>
    <x v="0"/>
    <s v="Known Employee"/>
    <n v="1"/>
  </r>
  <r>
    <s v="TRN-9623"/>
    <x v="83"/>
    <x v="2"/>
    <s v="EMP-0302"/>
    <s v="PROMO-00"/>
    <s v="Debit Card"/>
    <n v="515"/>
    <s v="2023-11-08"/>
    <x v="10"/>
    <x v="5"/>
    <x v="0"/>
    <s v="Known Employee"/>
    <n v="3"/>
  </r>
  <r>
    <s v="TRN-10000"/>
    <x v="144"/>
    <x v="3"/>
    <s v="EMP-0202"/>
    <s v="PROMO-00"/>
    <s v="Cash"/>
    <n v="60"/>
    <s v="2023-11-09"/>
    <x v="10"/>
    <x v="5"/>
    <x v="0"/>
    <s v="Known Employee"/>
    <n v="6"/>
  </r>
  <r>
    <s v="TRN-9831"/>
    <x v="31"/>
    <x v="8"/>
    <s v="EMP-0403"/>
    <s v="PROMO-00"/>
    <s v="Debit Card"/>
    <n v="50"/>
    <s v="2023-11-10"/>
    <x v="10"/>
    <x v="5"/>
    <x v="0"/>
    <s v="Known Employee"/>
    <n v="3"/>
  </r>
  <r>
    <s v="TRN-9653"/>
    <x v="172"/>
    <x v="1"/>
    <s v=" EMP-0104 "/>
    <s v="PROMO-01"/>
    <s v="Cash"/>
    <n v="326.39999999999998"/>
    <s v="2023-11-12"/>
    <x v="10"/>
    <x v="5"/>
    <x v="0"/>
    <s v="Known Employee"/>
    <n v="2"/>
  </r>
  <r>
    <s v="TRN-9306"/>
    <x v="130"/>
    <x v="2"/>
    <s v="EMP-0302"/>
    <s v="PROMO-00"/>
    <s v="Debit Card"/>
    <n v="374"/>
    <s v="2023-11-14"/>
    <x v="10"/>
    <x v="5"/>
    <x v="0"/>
    <s v="Known Employee"/>
    <n v="4"/>
  </r>
  <r>
    <s v="TRN-9256"/>
    <x v="173"/>
    <x v="4"/>
    <s v=" EMP-0403 "/>
    <s v="PROMO-00"/>
    <s v="Debit Card"/>
    <n v="530"/>
    <s v="2023-11-14"/>
    <x v="10"/>
    <x v="5"/>
    <x v="0"/>
    <s v="Known Employee"/>
    <n v="5"/>
  </r>
  <r>
    <s v="TRN-9545"/>
    <x v="174"/>
    <x v="2"/>
    <s v="EMP-0305"/>
    <s v="PROMO-00"/>
    <s v="Debit Card"/>
    <n v="263"/>
    <s v="2023-11-15"/>
    <x v="10"/>
    <x v="5"/>
    <x v="0"/>
    <s v="Known Employee"/>
    <n v="4"/>
  </r>
  <r>
    <s v="TRN-9056"/>
    <x v="143"/>
    <x v="2"/>
    <s v="EMP-0303"/>
    <s v="No Promotion"/>
    <s v="Mobile Payment"/>
    <n v="465"/>
    <s v="2023-11-15"/>
    <x v="10"/>
    <x v="5"/>
    <x v="1"/>
    <s v="Known Employee"/>
    <n v="2"/>
  </r>
  <r>
    <s v="TRN-9323"/>
    <x v="12"/>
    <x v="4"/>
    <s v="EMP-0405"/>
    <s v="PROMO-00"/>
    <s v="Mobile Payment"/>
    <n v="85"/>
    <s v="2023-11-19"/>
    <x v="10"/>
    <x v="5"/>
    <x v="0"/>
    <s v="Known Employee"/>
    <n v="8"/>
  </r>
  <r>
    <s v="TRN-9921"/>
    <x v="169"/>
    <x v="3"/>
    <s v="EMP-0205"/>
    <s v="PROMO-00"/>
    <s v="Credit Card"/>
    <n v="408"/>
    <s v="2023-11-23"/>
    <x v="10"/>
    <x v="5"/>
    <x v="0"/>
    <s v="Known Employee"/>
    <n v="5"/>
  </r>
  <r>
    <s v="TRN-9353"/>
    <x v="71"/>
    <x v="8"/>
    <s v="EMP-0404"/>
    <s v="PROMO-00"/>
    <s v="Credit Card"/>
    <n v="210"/>
    <s v="2023-11-24"/>
    <x v="10"/>
    <x v="5"/>
    <x v="0"/>
    <s v="Known Employee"/>
    <n v="5"/>
  </r>
  <r>
    <s v="TRN-9494"/>
    <x v="2"/>
    <x v="2"/>
    <s v=" EMP-0301 "/>
    <s v="PROMO-02"/>
    <s v="Credit Card"/>
    <n v="360"/>
    <s v="2023-11-25"/>
    <x v="10"/>
    <x v="5"/>
    <x v="0"/>
    <s v="Known Employee"/>
    <n v="5"/>
  </r>
  <r>
    <s v="TRN-9047"/>
    <x v="158"/>
    <x v="2"/>
    <s v="EMP-0301"/>
    <s v="PROMO-01"/>
    <s v="Unknown"/>
    <n v="127.5"/>
    <s v="2023-11-25"/>
    <x v="10"/>
    <x v="5"/>
    <x v="0"/>
    <s v="Known Employee"/>
    <n v="3"/>
  </r>
  <r>
    <s v="TRN-9003"/>
    <x v="104"/>
    <x v="1"/>
    <s v="EMP-0105"/>
    <s v="PROMO-02"/>
    <s v="Credit Card"/>
    <n v="144"/>
    <s v="2023-11-27"/>
    <x v="10"/>
    <x v="5"/>
    <x v="0"/>
    <s v="Known Employee"/>
    <n v="6"/>
  </r>
  <r>
    <s v="TRN-9675"/>
    <x v="167"/>
    <x v="2"/>
    <s v="EMP-0304"/>
    <s v="PROMO-00"/>
    <s v="Mobile Payment"/>
    <n v="363"/>
    <s v="2023-11-27"/>
    <x v="10"/>
    <x v="5"/>
    <x v="0"/>
    <s v="Known Employee"/>
    <n v="4"/>
  </r>
  <r>
    <s v="TRN-9176"/>
    <x v="78"/>
    <x v="2"/>
    <s v="EMP-0301"/>
    <s v="PROMO-00"/>
    <s v="Debit Card"/>
    <n v="556"/>
    <s v="2023-11-27"/>
    <x v="10"/>
    <x v="5"/>
    <x v="0"/>
    <s v="Known Employee"/>
    <n v="7"/>
  </r>
  <r>
    <s v="TRN-9447"/>
    <x v="75"/>
    <x v="1"/>
    <s v="EMP-0105"/>
    <s v="PROMO-00"/>
    <s v="Cash"/>
    <n v="80"/>
    <s v="2023-11-28"/>
    <x v="10"/>
    <x v="5"/>
    <x v="0"/>
    <s v="Known Employee"/>
    <n v="3"/>
  </r>
  <r>
    <s v="TRN-9568"/>
    <x v="13"/>
    <x v="0"/>
    <s v="EMP-0104"/>
    <s v="PROMO-01"/>
    <s v="Debit Card"/>
    <n v="411.4"/>
    <s v="2023-11-30"/>
    <x v="10"/>
    <x v="5"/>
    <x v="0"/>
    <s v="Known Employee"/>
    <n v="4"/>
  </r>
  <r>
    <s v="TRN-9727"/>
    <x v="3"/>
    <x v="2"/>
    <s v="EMP-0303"/>
    <s v=" PROMO-00 "/>
    <s v=" Debit Card "/>
    <n v="50"/>
    <s v="2023-12-05"/>
    <x v="11"/>
    <x v="1"/>
    <x v="0"/>
    <s v="Known Employee"/>
    <n v="8"/>
  </r>
  <r>
    <s v="TRN-9264"/>
    <x v="175"/>
    <x v="7"/>
    <s v="EMP-0301"/>
    <s v="PROMO-03"/>
    <s v="Cash"/>
    <n v="129.19999999999999"/>
    <s v="2023-12-08"/>
    <x v="11"/>
    <x v="1"/>
    <x v="0"/>
    <s v="Known Employee"/>
    <n v="3"/>
  </r>
  <r>
    <s v="TRN-9261"/>
    <x v="118"/>
    <x v="4"/>
    <s v="EMP-0405"/>
    <s v="PROMO-00"/>
    <s v="Cash"/>
    <n v="610"/>
    <s v="2023-12-09"/>
    <x v="11"/>
    <x v="1"/>
    <x v="0"/>
    <s v="Known Employee"/>
    <n v="4"/>
  </r>
  <r>
    <s v="TRN-9728"/>
    <x v="176"/>
    <x v="2"/>
    <s v="EMP-0301"/>
    <s v="PROMO-02"/>
    <s v="Debit Card"/>
    <n v="432"/>
    <s v="2023-12-11"/>
    <x v="11"/>
    <x v="1"/>
    <x v="0"/>
    <s v="Known Employee"/>
    <n v="4"/>
  </r>
  <r>
    <s v="TRN-9618"/>
    <x v="95"/>
    <x v="4"/>
    <s v="EMP-0401"/>
    <s v="PROMO-00"/>
    <s v="Cash"/>
    <n v="235"/>
    <s v="2023-12-13"/>
    <x v="11"/>
    <x v="1"/>
    <x v="0"/>
    <s v="Known Employee"/>
    <n v="3"/>
  </r>
  <r>
    <s v="TRN-9914"/>
    <x v="156"/>
    <x v="0"/>
    <s v="EMP-0101"/>
    <s v="PROMO-00"/>
    <s v="Mobile Payment"/>
    <n v="373"/>
    <s v="2023-12-14"/>
    <x v="11"/>
    <x v="1"/>
    <x v="0"/>
    <s v="Known Employee"/>
    <n v="3"/>
  </r>
  <r>
    <s v="TRN-9685"/>
    <x v="78"/>
    <x v="4"/>
    <s v="EMP-0403"/>
    <s v="PROMO-01"/>
    <s v="Credit Card"/>
    <n v="567.79999999999995"/>
    <s v="2023-12-15"/>
    <x v="11"/>
    <x v="1"/>
    <x v="0"/>
    <s v="Known Employee"/>
    <n v="7"/>
  </r>
  <r>
    <s v="TRN-9677"/>
    <x v="177"/>
    <x v="4"/>
    <s v="EMP-0405"/>
    <s v="PROMO-00"/>
    <s v="Cash"/>
    <n v="390"/>
    <s v="2023-12-16"/>
    <x v="11"/>
    <x v="1"/>
    <x v="0"/>
    <s v="Known Employee"/>
    <n v="5"/>
  </r>
  <r>
    <s v="TRN-9923"/>
    <x v="79"/>
    <x v="3"/>
    <s v="EMP-0203"/>
    <s v="PROMO-00"/>
    <s v="Credit Card"/>
    <n v="215"/>
    <s v="2023-12-19"/>
    <x v="11"/>
    <x v="1"/>
    <x v="0"/>
    <s v="Known Employee"/>
    <n v="3"/>
  </r>
  <r>
    <s v="TRN-9046"/>
    <x v="178"/>
    <x v="1"/>
    <s v="EMP-0104"/>
    <s v="PROMO-01"/>
    <s v="Mobile Payment"/>
    <n v="72.25"/>
    <s v="2023-12-19"/>
    <x v="11"/>
    <x v="1"/>
    <x v="0"/>
    <s v="Known Employee"/>
    <n v="2"/>
  </r>
  <r>
    <s v="TRN-9669"/>
    <x v="175"/>
    <x v="3"/>
    <s v="EMP-0204"/>
    <s v="PROMO-00"/>
    <s v="Cash"/>
    <n v="465"/>
    <s v="2023-12-19"/>
    <x v="11"/>
    <x v="1"/>
    <x v="0"/>
    <s v="Known Employee"/>
    <n v="3"/>
  </r>
  <r>
    <s v="TRN-9512"/>
    <x v="176"/>
    <x v="6"/>
    <s v="EMP-0203"/>
    <s v="PROMO-01"/>
    <s v="Mobile Payment"/>
    <n v="51"/>
    <s v="2023-12-20"/>
    <x v="11"/>
    <x v="1"/>
    <x v="0"/>
    <s v="Known Employee"/>
    <n v="4"/>
  </r>
  <r>
    <s v="TRN-9590"/>
    <x v="100"/>
    <x v="3"/>
    <s v="EMP-0201"/>
    <s v="PROMO-00"/>
    <s v="Credit Card"/>
    <n v="80"/>
    <s v="2023-12-21"/>
    <x v="11"/>
    <x v="1"/>
    <x v="0"/>
    <s v="Known Employee"/>
    <n v="4"/>
  </r>
  <r>
    <s v="TRN-9812"/>
    <x v="3"/>
    <x v="2"/>
    <s v="EMP-0303"/>
    <s v="PROMO-00"/>
    <s v="Mobile Payment"/>
    <n v="55"/>
    <s v="2023-12-21"/>
    <x v="11"/>
    <x v="1"/>
    <x v="0"/>
    <s v="Known Employee"/>
    <n v="8"/>
  </r>
  <r>
    <s v="TRN-9786"/>
    <x v="173"/>
    <x v="3"/>
    <s v="EMP-0205"/>
    <s v="No Promotion"/>
    <s v="Credit Card"/>
    <n v="281.35000000000002"/>
    <s v="2023-12-25"/>
    <x v="11"/>
    <x v="1"/>
    <x v="1"/>
    <s v="Known Employee"/>
    <n v="5"/>
  </r>
  <r>
    <s v="TRN-9760"/>
    <x v="179"/>
    <x v="2"/>
    <s v="EMP-0304"/>
    <s v="PROMO-00"/>
    <s v="Cash"/>
    <n v="551"/>
    <s v="2023-12-26"/>
    <x v="11"/>
    <x v="1"/>
    <x v="0"/>
    <s v="Known Employee"/>
    <n v="5"/>
  </r>
  <r>
    <s v="TRN-9553"/>
    <x v="180"/>
    <x v="1"/>
    <s v="EMP-0105"/>
    <s v="PROMO-03"/>
    <s v="Mobile Payment"/>
    <n v="228"/>
    <s v="2023-12-26"/>
    <x v="11"/>
    <x v="1"/>
    <x v="0"/>
    <s v="Known Employee"/>
    <n v="6"/>
  </r>
  <r>
    <s v="TRN-9391"/>
    <x v="8"/>
    <x v="1"/>
    <s v=" EMP-0104 "/>
    <s v="PROMO-03"/>
    <s v="Debit Card"/>
    <n v="494"/>
    <s v="2023-12-29"/>
    <x v="11"/>
    <x v="1"/>
    <x v="0"/>
    <s v="Known Employee"/>
    <n v="7"/>
  </r>
  <r>
    <s v="TRN-9260"/>
    <x v="181"/>
    <x v="4"/>
    <s v="EMP-0404"/>
    <s v="PROMO-00"/>
    <s v="Debit Card"/>
    <n v="160"/>
    <s v="2023-12-31"/>
    <x v="11"/>
    <x v="1"/>
    <x v="0"/>
    <s v="Known Employee"/>
    <n v="6"/>
  </r>
  <r>
    <s v="TRN-9043"/>
    <x v="122"/>
    <x v="1"/>
    <s v="EMP-0105"/>
    <s v="PROMO-00"/>
    <s v="Debit Card"/>
    <n v="484"/>
    <s v="2024-01-01"/>
    <x v="0"/>
    <x v="0"/>
    <x v="0"/>
    <s v="Known Employee"/>
    <n v="5"/>
  </r>
  <r>
    <s v="TRN-9764"/>
    <x v="180"/>
    <x v="2"/>
    <s v="EMP-0303"/>
    <s v="PROMO-00"/>
    <s v="Credit Card"/>
    <n v="204"/>
    <s v="2024-01-08"/>
    <x v="0"/>
    <x v="0"/>
    <x v="0"/>
    <s v="Known Employee"/>
    <n v="6"/>
  </r>
  <r>
    <s v="TRN-9194"/>
    <x v="182"/>
    <x v="2"/>
    <s v="EMP-0304"/>
    <s v="PROMO-00"/>
    <s v="Cash"/>
    <n v="440"/>
    <s v="2024-01-09"/>
    <x v="0"/>
    <x v="0"/>
    <x v="0"/>
    <s v="Known Employee"/>
    <n v="2"/>
  </r>
  <r>
    <s v="TRN-9695"/>
    <x v="53"/>
    <x v="1"/>
    <s v="EMP-0101"/>
    <s v="PROMO-00"/>
    <s v="Debit Card"/>
    <n v="313"/>
    <s v="2024-01-11"/>
    <x v="0"/>
    <x v="0"/>
    <x v="0"/>
    <s v="Known Employee"/>
    <n v="3"/>
  </r>
  <r>
    <s v="TRN-9120"/>
    <x v="122"/>
    <x v="4"/>
    <s v="EMP-0403"/>
    <s v="PROMO-00"/>
    <s v="Credit Card"/>
    <n v="615"/>
    <s v="2024-01-11"/>
    <x v="0"/>
    <x v="0"/>
    <x v="0"/>
    <s v="Known Employee"/>
    <n v="5"/>
  </r>
  <r>
    <s v="TRN-9985"/>
    <x v="106"/>
    <x v="2"/>
    <s v=" EMP-0305 "/>
    <s v="PROMO-00"/>
    <s v=" Mobile Payment "/>
    <n v="794"/>
    <s v="2024-01-14"/>
    <x v="0"/>
    <x v="0"/>
    <x v="0"/>
    <s v="Known Employee"/>
    <n v="5"/>
  </r>
  <r>
    <s v="TRN-9152"/>
    <x v="5"/>
    <x v="1"/>
    <s v="EMP-0104"/>
    <s v="PROMO-00"/>
    <s v="Credit Card"/>
    <n v="605"/>
    <s v="2024-01-15"/>
    <x v="0"/>
    <x v="0"/>
    <x v="0"/>
    <s v="Known Employee"/>
    <n v="5"/>
  </r>
  <r>
    <s v="TRN-9872"/>
    <x v="179"/>
    <x v="4"/>
    <s v="EMP-0405"/>
    <s v="PROMO-02"/>
    <s v="Debit Card"/>
    <n v="342"/>
    <s v="2024-01-20"/>
    <x v="0"/>
    <x v="0"/>
    <x v="0"/>
    <s v="Known Employee"/>
    <n v="5"/>
  </r>
  <r>
    <s v=" TRN-9767 "/>
    <x v="136"/>
    <x v="1"/>
    <s v="EMP-0104"/>
    <s v="PROMO-00"/>
    <s v="Credit Card"/>
    <n v="490"/>
    <s v="2024-01-21"/>
    <x v="0"/>
    <x v="0"/>
    <x v="0"/>
    <s v="Known Employee"/>
    <n v="4"/>
  </r>
  <r>
    <s v="TRN-9507"/>
    <x v="183"/>
    <x v="2"/>
    <s v="EMP-0304"/>
    <s v="PROMO-00"/>
    <s v="Credit Card"/>
    <n v="460"/>
    <s v="2024-01-22"/>
    <x v="0"/>
    <x v="0"/>
    <x v="0"/>
    <s v="Known Employee"/>
    <n v="1"/>
  </r>
  <r>
    <s v="TRN-9067"/>
    <x v="78"/>
    <x v="4"/>
    <s v="EMP-0404"/>
    <s v=" PROMO-00 "/>
    <s v="Credit Card"/>
    <n v="562"/>
    <s v="2024-01-23"/>
    <x v="0"/>
    <x v="0"/>
    <x v="0"/>
    <s v="Known Employee"/>
    <n v="7"/>
  </r>
  <r>
    <s v="TRN-9132"/>
    <x v="90"/>
    <x v="1"/>
    <s v=" EMP-0102 "/>
    <s v="PROMO-01"/>
    <s v="Cash"/>
    <n v="522.75"/>
    <s v="2024-01-23"/>
    <x v="0"/>
    <x v="0"/>
    <x v="0"/>
    <s v="Known Employee"/>
    <n v="7"/>
  </r>
  <r>
    <s v="TRN-9163"/>
    <x v="172"/>
    <x v="1"/>
    <s v="EMP-0102"/>
    <s v="PROMO-02"/>
    <s v="Unknown"/>
    <n v="333.9"/>
    <s v="2024-01-26"/>
    <x v="0"/>
    <x v="0"/>
    <x v="0"/>
    <s v="Known Employee"/>
    <n v="2"/>
  </r>
  <r>
    <s v="TRN-9208"/>
    <x v="184"/>
    <x v="1"/>
    <s v="EMP-0104"/>
    <s v=" PROMO-03 "/>
    <s v="Debit Card"/>
    <n v="418"/>
    <s v="2024-01-29"/>
    <x v="0"/>
    <x v="0"/>
    <x v="0"/>
    <s v="Known Employee"/>
    <n v="4"/>
  </r>
  <r>
    <s v="TRN-9734"/>
    <x v="7"/>
    <x v="6"/>
    <s v="EMP-0203"/>
    <s v="PROMO-00"/>
    <s v="Cash"/>
    <n v="110"/>
    <s v="2024-01-31"/>
    <x v="0"/>
    <x v="0"/>
    <x v="0"/>
    <s v="Known Employee"/>
    <n v="6"/>
  </r>
  <r>
    <s v="TRN-9567"/>
    <x v="20"/>
    <x v="1"/>
    <s v="EMP-0105"/>
    <s v="PROMO-00"/>
    <s v="Mobile Payment"/>
    <n v="230"/>
    <s v="2024-01-31"/>
    <x v="0"/>
    <x v="0"/>
    <x v="0"/>
    <s v="Known Employee"/>
    <n v="7"/>
  </r>
  <r>
    <s v="TRN-9377"/>
    <x v="47"/>
    <x v="4"/>
    <s v="EMP-0403"/>
    <s v="PROMO-00"/>
    <s v="Mobile Payment"/>
    <n v="351"/>
    <s v="2024-01-31"/>
    <x v="0"/>
    <x v="0"/>
    <x v="0"/>
    <s v="Known Employee"/>
    <n v="5"/>
  </r>
  <r>
    <s v="TRN-9337"/>
    <x v="185"/>
    <x v="3"/>
    <s v="EMP-0203"/>
    <s v="PROMO-01"/>
    <s v="Credit Card"/>
    <n v="382.5"/>
    <s v="2024-02-01"/>
    <x v="1"/>
    <x v="1"/>
    <x v="0"/>
    <s v="Known Employee"/>
    <n v="5"/>
  </r>
  <r>
    <s v="TRN-9375"/>
    <x v="137"/>
    <x v="1"/>
    <s v="EMP-0102"/>
    <s v="PROMO-02"/>
    <s v="Debit Card"/>
    <n v="238.5"/>
    <s v="2024-02-18"/>
    <x v="1"/>
    <x v="1"/>
    <x v="0"/>
    <s v="Known Employee"/>
    <n v="2"/>
  </r>
  <r>
    <s v="TRN-9667"/>
    <x v="101"/>
    <x v="4"/>
    <s v="EMP-0405"/>
    <s v="PROMO-00"/>
    <s v="Credit Card"/>
    <n v="600"/>
    <s v="2024-02-20"/>
    <x v="1"/>
    <x v="1"/>
    <x v="0"/>
    <s v="Known Employee"/>
    <n v="4"/>
  </r>
  <r>
    <s v="TRN-9683"/>
    <x v="48"/>
    <x v="2"/>
    <s v="EMP-0305"/>
    <s v="PROMO-01"/>
    <s v="Credit Card"/>
    <n v="374"/>
    <s v="2024-02-24"/>
    <x v="1"/>
    <x v="1"/>
    <x v="0"/>
    <s v="Known Employee"/>
    <n v="4"/>
  </r>
  <r>
    <s v="TRN-9203"/>
    <x v="186"/>
    <x v="3"/>
    <s v="EMP-0204"/>
    <s v="PROMO-02"/>
    <s v="Cash"/>
    <n v="61.2"/>
    <s v="2024-02-28"/>
    <x v="1"/>
    <x v="1"/>
    <x v="0"/>
    <s v="Known Employee"/>
    <n v="2"/>
  </r>
  <r>
    <s v="TRN-9784"/>
    <x v="102"/>
    <x v="4"/>
    <s v="EMP-0405"/>
    <s v="PROMO-00"/>
    <s v="Cash"/>
    <n v="276"/>
    <s v="2024-02-28"/>
    <x v="1"/>
    <x v="1"/>
    <x v="0"/>
    <s v="Known Employee"/>
    <n v="5"/>
  </r>
  <r>
    <s v="TRN-9613"/>
    <x v="132"/>
    <x v="4"/>
    <s v="EMP-0404"/>
    <s v="PROMO-01"/>
    <s v="Debit Card"/>
    <n v="319.60000000000002"/>
    <s v="2024-03-05"/>
    <x v="2"/>
    <x v="2"/>
    <x v="0"/>
    <s v="Known Employee"/>
    <n v="3"/>
  </r>
  <r>
    <s v="TRN-9509"/>
    <x v="187"/>
    <x v="2"/>
    <s v="EMP-0303"/>
    <s v="PROMO-02"/>
    <s v="Mobile Payment"/>
    <n v="175.5"/>
    <s v="2024-03-05"/>
    <x v="2"/>
    <x v="2"/>
    <x v="0"/>
    <s v="Known Employee"/>
    <n v="1"/>
  </r>
  <r>
    <s v="TRN-9639"/>
    <x v="114"/>
    <x v="2"/>
    <s v="EMP-0305"/>
    <s v="PROMO-00"/>
    <s v="Cash"/>
    <n v="520"/>
    <s v="2024-03-07"/>
    <x v="2"/>
    <x v="2"/>
    <x v="0"/>
    <s v="Known Employee"/>
    <n v="4"/>
  </r>
  <r>
    <s v="TRN-9996"/>
    <x v="188"/>
    <x v="2"/>
    <s v="EMP-0303"/>
    <s v="PROMO-01"/>
    <s v="Debit Card"/>
    <n v="640.9"/>
    <s v="2024-03-08"/>
    <x v="2"/>
    <x v="2"/>
    <x v="0"/>
    <s v="Known Employee"/>
    <n v="1"/>
  </r>
  <r>
    <s v="TRN-9888"/>
    <x v="174"/>
    <x v="5"/>
    <s v="EMP-0104"/>
    <s v="PROMO-01"/>
    <s v="Unknown"/>
    <n v="204"/>
    <s v="2024-03-08"/>
    <x v="2"/>
    <x v="2"/>
    <x v="0"/>
    <s v="Known Employee"/>
    <n v="4"/>
  </r>
  <r>
    <s v=" TRN-9482 "/>
    <x v="36"/>
    <x v="1"/>
    <s v="EMP-0105"/>
    <s v="PROMO-01"/>
    <s v="Mobile Payment"/>
    <n v="302.60000000000002"/>
    <s v="2024-03-08"/>
    <x v="2"/>
    <x v="2"/>
    <x v="0"/>
    <s v="Known Employee"/>
    <n v="9"/>
  </r>
  <r>
    <s v="TRN-9482"/>
    <x v="36"/>
    <x v="1"/>
    <s v="EMP-0105"/>
    <s v="PROMO-01"/>
    <s v="Mobile Payment"/>
    <n v="302.60000000000002"/>
    <s v="2024-03-08"/>
    <x v="2"/>
    <x v="2"/>
    <x v="0"/>
    <s v="Known Employee"/>
    <n v="9"/>
  </r>
  <r>
    <s v="TRN-9861"/>
    <x v="132"/>
    <x v="1"/>
    <s v="EMP-0105"/>
    <s v="PROMO-00"/>
    <s v="Mobile Payment"/>
    <n v="567"/>
    <s v="2024-03-09"/>
    <x v="2"/>
    <x v="2"/>
    <x v="0"/>
    <s v="Known Employee"/>
    <n v="3"/>
  </r>
  <r>
    <s v="TRN-9288"/>
    <x v="49"/>
    <x v="8"/>
    <s v="EMP-0402"/>
    <s v="PROMO-00"/>
    <s v="Credit Card"/>
    <n v="448"/>
    <s v="2024-03-11"/>
    <x v="2"/>
    <x v="2"/>
    <x v="0"/>
    <s v="Known Employee"/>
    <n v="4"/>
  </r>
  <r>
    <s v="TRN-9578"/>
    <x v="164"/>
    <x v="1"/>
    <s v="EMP-0104"/>
    <s v="PROMO-01"/>
    <s v="Debit Card"/>
    <n v="472.6"/>
    <s v="2024-03-12"/>
    <x v="2"/>
    <x v="2"/>
    <x v="0"/>
    <s v="Known Employee"/>
    <n v="2"/>
  </r>
  <r>
    <s v="TRN-9798"/>
    <x v="189"/>
    <x v="4"/>
    <s v="EMP-0405"/>
    <s v="PROMO-01"/>
    <s v="Mobile Payment"/>
    <n v="102"/>
    <s v="2024-03-14"/>
    <x v="2"/>
    <x v="2"/>
    <x v="0"/>
    <s v="Known Employee"/>
    <n v="3"/>
  </r>
  <r>
    <s v=" TRN-9557 "/>
    <x v="154"/>
    <x v="1"/>
    <s v="EMP-0105"/>
    <s v="PROMO-00"/>
    <s v="Credit Card"/>
    <n v="204"/>
    <s v="2024-03-16"/>
    <x v="2"/>
    <x v="2"/>
    <x v="0"/>
    <s v="Known Employee"/>
    <n v="7"/>
  </r>
  <r>
    <s v="TRN-9400"/>
    <x v="130"/>
    <x v="6"/>
    <s v="EMP-0202"/>
    <s v="PROMO-00"/>
    <s v="Mobile Payment"/>
    <n v="491"/>
    <s v="2024-03-18"/>
    <x v="2"/>
    <x v="2"/>
    <x v="0"/>
    <s v="Known Employee"/>
    <n v="4"/>
  </r>
  <r>
    <s v="TRN-9026"/>
    <x v="34"/>
    <x v="3"/>
    <s v="EMP-0202"/>
    <s v=" PROMO-00 "/>
    <s v="Cash"/>
    <n v="645"/>
    <s v="2024-03-18"/>
    <x v="2"/>
    <x v="2"/>
    <x v="0"/>
    <s v="Known Employee"/>
    <n v="4"/>
  </r>
  <r>
    <s v="TRN-9034"/>
    <x v="147"/>
    <x v="1"/>
    <s v="EMP-0105"/>
    <s v="PROMO-00"/>
    <s v="Debit Card"/>
    <n v="355"/>
    <s v="2024-03-19"/>
    <x v="2"/>
    <x v="2"/>
    <x v="0"/>
    <s v="Known Employee"/>
    <n v="4"/>
  </r>
  <r>
    <s v="TRN-9351"/>
    <x v="35"/>
    <x v="3"/>
    <s v="EMP-0204"/>
    <s v="No Promotion"/>
    <s v="Credit Card"/>
    <n v="232.75"/>
    <s v="2024-03-19"/>
    <x v="2"/>
    <x v="2"/>
    <x v="1"/>
    <s v="Known Employee"/>
    <n v="7"/>
  </r>
  <r>
    <s v="TRN-9901"/>
    <x v="16"/>
    <x v="3"/>
    <s v="EMP-0205"/>
    <s v="PROMO-00"/>
    <s v="Cash"/>
    <n v="180"/>
    <s v="2024-03-24"/>
    <x v="2"/>
    <x v="2"/>
    <x v="0"/>
    <s v="Known Employee"/>
    <n v="4"/>
  </r>
  <r>
    <s v="TRN-9952"/>
    <x v="118"/>
    <x v="1"/>
    <s v="EMP-0105"/>
    <s v="PROMO-00"/>
    <s v="Cash"/>
    <n v="170"/>
    <s v="2024-03-25"/>
    <x v="2"/>
    <x v="2"/>
    <x v="0"/>
    <s v="Known Employee"/>
    <n v="4"/>
  </r>
  <r>
    <s v="TRN-9451"/>
    <x v="64"/>
    <x v="0"/>
    <s v="Unknown"/>
    <s v="PROMO-00"/>
    <s v="Debit Card"/>
    <n v="123"/>
    <s v="2024-03-26"/>
    <x v="2"/>
    <x v="2"/>
    <x v="0"/>
    <s v="UnKnown Employee"/>
    <n v="3"/>
  </r>
  <r>
    <s v="TRN-9724"/>
    <x v="190"/>
    <x v="4"/>
    <s v="EMP-0401"/>
    <s v="PROMO-00"/>
    <s v="Credit Card"/>
    <n v="280"/>
    <s v="2024-03-27"/>
    <x v="2"/>
    <x v="2"/>
    <x v="0"/>
    <s v="Known Employee"/>
    <n v="2"/>
  </r>
  <r>
    <s v="TRN-9151"/>
    <x v="111"/>
    <x v="4"/>
    <s v="Unknown"/>
    <s v="PROMO-00"/>
    <s v="Debit Card"/>
    <n v="255"/>
    <s v="2024-03-27"/>
    <x v="2"/>
    <x v="2"/>
    <x v="0"/>
    <s v="UnKnown Employee"/>
    <n v="5"/>
  </r>
  <r>
    <s v="TRN-9113"/>
    <x v="155"/>
    <x v="2"/>
    <s v="EMP-0301"/>
    <s v="PROMO-00"/>
    <s v=" Cash "/>
    <n v="165"/>
    <s v="2024-03-29"/>
    <x v="2"/>
    <x v="2"/>
    <x v="0"/>
    <s v="Known Employee"/>
    <n v="3"/>
  </r>
  <r>
    <s v="TRN-9224"/>
    <x v="157"/>
    <x v="2"/>
    <s v="EMP-0305"/>
    <s v="PROMO-02"/>
    <s v="Mobile Payment"/>
    <n v="148.5"/>
    <s v="2024-04-02"/>
    <x v="3"/>
    <x v="1"/>
    <x v="0"/>
    <s v="Known Employee"/>
    <n v="2"/>
  </r>
  <r>
    <s v="TRN-9184"/>
    <x v="136"/>
    <x v="4"/>
    <s v="EMP-0402"/>
    <s v="PROMO-00"/>
    <s v=" Debit Card "/>
    <n v="521"/>
    <s v="2024-04-05"/>
    <x v="3"/>
    <x v="1"/>
    <x v="0"/>
    <s v="Known Employee"/>
    <n v="4"/>
  </r>
  <r>
    <s v="TRN-9562"/>
    <x v="38"/>
    <x v="3"/>
    <s v="EMP-0204"/>
    <s v="PROMO-00"/>
    <s v="Debit Card"/>
    <n v="300"/>
    <s v="2024-04-08"/>
    <x v="3"/>
    <x v="1"/>
    <x v="0"/>
    <s v="Known Employee"/>
    <n v="5"/>
  </r>
  <r>
    <s v="TRN-9694"/>
    <x v="55"/>
    <x v="0"/>
    <s v="EMP-0202"/>
    <s v="PROMO-00"/>
    <s v="Credit Card"/>
    <n v="334"/>
    <s v="2024-04-08"/>
    <x v="3"/>
    <x v="1"/>
    <x v="0"/>
    <s v="Known Employee"/>
    <n v="5"/>
  </r>
  <r>
    <s v="TRN-9397"/>
    <x v="117"/>
    <x v="1"/>
    <s v="EMP-0101"/>
    <s v="PROMO-00"/>
    <s v="Mobile Payment"/>
    <n v="454"/>
    <s v="2024-04-12"/>
    <x v="3"/>
    <x v="1"/>
    <x v="0"/>
    <s v="Known Employee"/>
    <n v="6"/>
  </r>
  <r>
    <s v="TRN-9345"/>
    <x v="150"/>
    <x v="3"/>
    <s v="EMP-0205"/>
    <s v="PROMO-00"/>
    <s v=" Credit Card "/>
    <n v="470"/>
    <s v="2024-04-16"/>
    <x v="3"/>
    <x v="1"/>
    <x v="0"/>
    <s v="Known Employee"/>
    <n v="5"/>
  </r>
  <r>
    <s v="TRN-9894"/>
    <x v="191"/>
    <x v="1"/>
    <s v="EMP-0102"/>
    <s v="PROMO-00"/>
    <s v="Credit Card"/>
    <n v="639"/>
    <s v="2024-04-17"/>
    <x v="3"/>
    <x v="1"/>
    <x v="0"/>
    <s v="Known Employee"/>
    <n v="2"/>
  </r>
  <r>
    <s v="TRN-9714"/>
    <x v="15"/>
    <x v="4"/>
    <s v="EMP-0401"/>
    <s v="PROMO-01"/>
    <s v="Cash"/>
    <n v="127.5"/>
    <s v="2024-04-19"/>
    <x v="3"/>
    <x v="1"/>
    <x v="0"/>
    <s v="Known Employee"/>
    <n v="7"/>
  </r>
  <r>
    <s v="TRN-9359"/>
    <x v="36"/>
    <x v="4"/>
    <s v="EMP-0404"/>
    <s v="PROMO-00"/>
    <s v="Credit Card"/>
    <n v="355"/>
    <s v="2024-04-20"/>
    <x v="3"/>
    <x v="1"/>
    <x v="0"/>
    <s v="Known Employee"/>
    <n v="9"/>
  </r>
  <r>
    <s v="TRN-9955"/>
    <x v="140"/>
    <x v="3"/>
    <s v="EMP-0201"/>
    <s v="PROMO-00"/>
    <s v="Credit Card"/>
    <n v="644"/>
    <s v="2024-04-20"/>
    <x v="3"/>
    <x v="1"/>
    <x v="0"/>
    <s v="Known Employee"/>
    <n v="4"/>
  </r>
  <r>
    <s v="TRN-9608"/>
    <x v="125"/>
    <x v="4"/>
    <s v="EMP-0403"/>
    <s v="PROMO-01"/>
    <s v="Credit Card"/>
    <n v="55.25"/>
    <s v="2024-04-23"/>
    <x v="3"/>
    <x v="1"/>
    <x v="0"/>
    <s v="Known Employee"/>
    <n v="4"/>
  </r>
  <r>
    <s v="TRN-9185"/>
    <x v="192"/>
    <x v="4"/>
    <s v="EMP-0405"/>
    <s v="PROMO-00"/>
    <s v="Cash"/>
    <n v="160"/>
    <s v="2024-04-26"/>
    <x v="3"/>
    <x v="1"/>
    <x v="0"/>
    <s v="Known Employee"/>
    <n v="1"/>
  </r>
  <r>
    <s v="TRN-9912"/>
    <x v="62"/>
    <x v="5"/>
    <s v="EMP-0101"/>
    <s v="PROMO-00"/>
    <s v="Cash"/>
    <n v="201"/>
    <s v="2024-04-30"/>
    <x v="3"/>
    <x v="1"/>
    <x v="0"/>
    <s v="Known Employee"/>
    <n v="2"/>
  </r>
  <r>
    <s v="TRN-9311"/>
    <x v="177"/>
    <x v="0"/>
    <s v=" EMP-0201 "/>
    <s v="PROMO-00"/>
    <s v="Mobile Payment"/>
    <n v="413"/>
    <s v="2024-05-02"/>
    <x v="4"/>
    <x v="1"/>
    <x v="0"/>
    <s v="Known Employee"/>
    <n v="5"/>
  </r>
  <r>
    <s v="TRN-9274"/>
    <x v="120"/>
    <x v="1"/>
    <s v="EMP-0101"/>
    <s v="PROMO-00"/>
    <s v=" Credit Card "/>
    <n v="435"/>
    <s v="2024-05-02"/>
    <x v="4"/>
    <x v="1"/>
    <x v="0"/>
    <s v="Known Employee"/>
    <n v="3"/>
  </r>
  <r>
    <s v="TRN-9178"/>
    <x v="126"/>
    <x v="1"/>
    <s v="EMP-0103"/>
    <s v="PROMO-00"/>
    <s v="Mobile Payment"/>
    <n v="600"/>
    <s v="2024-05-03"/>
    <x v="4"/>
    <x v="1"/>
    <x v="0"/>
    <s v="Known Employee"/>
    <n v="5"/>
  </r>
  <r>
    <s v="TRN-9715"/>
    <x v="193"/>
    <x v="2"/>
    <s v="EMP-0302"/>
    <s v="PROMO-00"/>
    <s v="Cash"/>
    <n v="522"/>
    <s v="2024-05-03"/>
    <x v="4"/>
    <x v="1"/>
    <x v="0"/>
    <s v="Known Employee"/>
    <n v="5"/>
  </r>
  <r>
    <s v="TRN-9755"/>
    <x v="39"/>
    <x v="1"/>
    <s v="EMP-0101"/>
    <s v="PROMO-00"/>
    <s v="Credit Card"/>
    <n v="410"/>
    <s v="2024-05-03"/>
    <x v="4"/>
    <x v="1"/>
    <x v="0"/>
    <s v="Known Employee"/>
    <n v="6"/>
  </r>
  <r>
    <s v="TRN-9168"/>
    <x v="37"/>
    <x v="2"/>
    <s v="EMP-0303"/>
    <s v="No Promotion"/>
    <s v="Mobile Payment"/>
    <n v="354"/>
    <s v="2024-05-04"/>
    <x v="4"/>
    <x v="1"/>
    <x v="1"/>
    <s v="Known Employee"/>
    <n v="4"/>
  </r>
  <r>
    <s v="TRN-9466"/>
    <x v="55"/>
    <x v="4"/>
    <s v="EMP-0403"/>
    <s v=" PROMO-00 "/>
    <s v="Cash"/>
    <n v="85"/>
    <s v="2024-05-08"/>
    <x v="4"/>
    <x v="1"/>
    <x v="0"/>
    <s v="Known Employee"/>
    <n v="5"/>
  </r>
  <r>
    <s v="TRN-9448"/>
    <x v="92"/>
    <x v="4"/>
    <s v="EMP-0404"/>
    <s v="PROMO-02"/>
    <s v="Mobile Payment"/>
    <n v="49.5"/>
    <s v="2024-05-08"/>
    <x v="4"/>
    <x v="1"/>
    <x v="0"/>
    <s v="Known Employee"/>
    <n v="4"/>
  </r>
  <r>
    <s v="TRN-9953"/>
    <x v="194"/>
    <x v="2"/>
    <s v="EMP-0303"/>
    <s v="PROMO-03"/>
    <s v=" Debit Card "/>
    <n v="110.2"/>
    <s v="2024-05-08"/>
    <x v="4"/>
    <x v="1"/>
    <x v="0"/>
    <s v="Known Employee"/>
    <n v="2"/>
  </r>
  <r>
    <s v="TRN-9207"/>
    <x v="195"/>
    <x v="3"/>
    <s v="EMP-0205"/>
    <s v="PROMO-00"/>
    <s v="Cash"/>
    <n v="430"/>
    <s v="2024-05-09"/>
    <x v="4"/>
    <x v="1"/>
    <x v="0"/>
    <s v="Known Employee"/>
    <n v="5"/>
  </r>
  <r>
    <s v="TRN-9563"/>
    <x v="106"/>
    <x v="5"/>
    <s v="EMP-0105"/>
    <s v="PROMO-00"/>
    <s v="Cash"/>
    <n v="260"/>
    <s v="2024-05-10"/>
    <x v="4"/>
    <x v="1"/>
    <x v="0"/>
    <s v="Known Employee"/>
    <n v="5"/>
  </r>
  <r>
    <s v=" TRN-9882 "/>
    <x v="195"/>
    <x v="1"/>
    <s v="EMP-0102"/>
    <s v="PROMO-01"/>
    <s v="Unknown"/>
    <n v="353.6"/>
    <s v="2024-05-10"/>
    <x v="4"/>
    <x v="1"/>
    <x v="0"/>
    <s v="Known Employee"/>
    <n v="5"/>
  </r>
  <r>
    <s v="TRN-9387"/>
    <x v="82"/>
    <x v="3"/>
    <s v="EMP-0205"/>
    <s v="PROMO-00"/>
    <s v="Credit Card"/>
    <n v="210"/>
    <s v="2024-05-10"/>
    <x v="4"/>
    <x v="1"/>
    <x v="0"/>
    <s v="Known Employee"/>
    <n v="3"/>
  </r>
  <r>
    <s v="TRN-9378"/>
    <x v="98"/>
    <x v="2"/>
    <s v="EMP-0303"/>
    <s v="PROMO-00"/>
    <s v="Mobile Payment"/>
    <n v="466"/>
    <s v="2024-05-11"/>
    <x v="4"/>
    <x v="1"/>
    <x v="0"/>
    <s v="Known Employee"/>
    <n v="4"/>
  </r>
  <r>
    <s v="TRN-9993"/>
    <x v="196"/>
    <x v="1"/>
    <s v="EMP-0105"/>
    <s v="No Promotion"/>
    <s v="Mobile Payment"/>
    <n v="170"/>
    <s v="2024-05-14"/>
    <x v="4"/>
    <x v="1"/>
    <x v="1"/>
    <s v="Known Employee"/>
    <n v="4"/>
  </r>
  <r>
    <s v="TRN-9963"/>
    <x v="128"/>
    <x v="2"/>
    <s v="EMP-0301"/>
    <s v="PROMO-00"/>
    <s v="Cash"/>
    <n v="180"/>
    <s v="2024-05-15"/>
    <x v="4"/>
    <x v="1"/>
    <x v="0"/>
    <s v="Known Employee"/>
    <n v="6"/>
  </r>
  <r>
    <s v="TRN-9586"/>
    <x v="28"/>
    <x v="3"/>
    <s v="EMP-0204"/>
    <s v="PROMO-01"/>
    <s v="Debit Card"/>
    <n v="525.29999999999995"/>
    <s v="2024-05-17"/>
    <x v="4"/>
    <x v="1"/>
    <x v="0"/>
    <s v="Known Employee"/>
    <n v="8"/>
  </r>
  <r>
    <s v="TRN-9878"/>
    <x v="34"/>
    <x v="4"/>
    <s v="EMP-0403"/>
    <s v="PROMO-01"/>
    <s v="Debit Card"/>
    <n v="266.89999999999998"/>
    <s v="2024-05-17"/>
    <x v="4"/>
    <x v="1"/>
    <x v="0"/>
    <s v="Known Employee"/>
    <n v="4"/>
  </r>
  <r>
    <s v="TRN-9179"/>
    <x v="20"/>
    <x v="5"/>
    <s v=" EMP-0101 "/>
    <s v="PROMO-02"/>
    <s v="Cash"/>
    <n v="135"/>
    <s v="2024-05-21"/>
    <x v="4"/>
    <x v="1"/>
    <x v="0"/>
    <s v="Known Employee"/>
    <n v="7"/>
  </r>
  <r>
    <s v="TRN-9780"/>
    <x v="50"/>
    <x v="1"/>
    <s v="EMP-0102"/>
    <s v="PROMO-00"/>
    <s v=" Debit Card "/>
    <n v="116"/>
    <s v="2024-05-24"/>
    <x v="4"/>
    <x v="1"/>
    <x v="0"/>
    <s v="Known Employee"/>
    <n v="2"/>
  </r>
  <r>
    <s v="TRN-9883"/>
    <x v="117"/>
    <x v="1"/>
    <s v="EMP-0101"/>
    <s v="PROMO-00"/>
    <s v="Credit Card"/>
    <n v="561"/>
    <s v="2024-05-28"/>
    <x v="4"/>
    <x v="1"/>
    <x v="0"/>
    <s v="Known Employee"/>
    <n v="6"/>
  </r>
  <r>
    <s v="TRN-9464"/>
    <x v="140"/>
    <x v="2"/>
    <s v="EMP-0301"/>
    <s v="PROMO-02"/>
    <s v="Mobile Payment"/>
    <n v="108"/>
    <s v="2024-05-30"/>
    <x v="4"/>
    <x v="1"/>
    <x v="0"/>
    <s v="Known Employee"/>
    <n v="4"/>
  </r>
  <r>
    <s v="TRN-9839"/>
    <x v="130"/>
    <x v="8"/>
    <s v="EMP-0405"/>
    <s v="PROMO-02"/>
    <s v="Credit Card"/>
    <n v="166.5"/>
    <s v="2024-05-31"/>
    <x v="4"/>
    <x v="1"/>
    <x v="0"/>
    <s v="Known Employee"/>
    <n v="4"/>
  </r>
  <r>
    <s v="TRN-9719"/>
    <x v="40"/>
    <x v="1"/>
    <s v="EMP-0105"/>
    <s v=" PROMO-00 "/>
    <s v="Debit Card"/>
    <n v="644"/>
    <s v="2024-06-01"/>
    <x v="5"/>
    <x v="1"/>
    <x v="0"/>
    <s v="Known Employee"/>
    <n v="3"/>
  </r>
  <r>
    <s v="TRN-9289"/>
    <x v="63"/>
    <x v="4"/>
    <s v="EMP-0405"/>
    <s v="PROMO-00"/>
    <s v="Cash"/>
    <n v="110"/>
    <s v="2024-06-02"/>
    <x v="5"/>
    <x v="1"/>
    <x v="0"/>
    <s v="Known Employee"/>
    <n v="2"/>
  </r>
  <r>
    <s v="TRN-9747"/>
    <x v="23"/>
    <x v="4"/>
    <s v="EMP-0403"/>
    <s v="PROMO-00"/>
    <s v="Debit Card"/>
    <n v="495"/>
    <s v="2024-06-02"/>
    <x v="5"/>
    <x v="1"/>
    <x v="0"/>
    <s v="Known Employee"/>
    <n v="4"/>
  </r>
  <r>
    <s v="TRN-9698"/>
    <x v="197"/>
    <x v="6"/>
    <s v="EMP-0201"/>
    <s v="PROMO-00"/>
    <s v="Cash"/>
    <n v="611"/>
    <s v="2024-06-04"/>
    <x v="5"/>
    <x v="1"/>
    <x v="0"/>
    <s v="Known Employee"/>
    <n v="4"/>
  </r>
  <r>
    <s v="TRN-9465"/>
    <x v="198"/>
    <x v="3"/>
    <s v="EMP-0204"/>
    <s v="PROMO-00"/>
    <s v="Cash"/>
    <n v="190"/>
    <s v="2024-06-07"/>
    <x v="5"/>
    <x v="1"/>
    <x v="0"/>
    <s v="Known Employee"/>
    <n v="1"/>
  </r>
  <r>
    <s v="TRN-9076"/>
    <x v="199"/>
    <x v="8"/>
    <s v="Unknown"/>
    <s v="PROMO-00"/>
    <s v="Cash"/>
    <n v="341"/>
    <s v="2024-06-07"/>
    <x v="5"/>
    <x v="1"/>
    <x v="0"/>
    <s v="UnKnown Employee"/>
    <n v="4"/>
  </r>
  <r>
    <s v="TRN-9533"/>
    <x v="110"/>
    <x v="2"/>
    <s v="EMP-0301"/>
    <s v=" PROMO-00 "/>
    <s v="Cash"/>
    <n v="410"/>
    <s v="2024-06-12"/>
    <x v="5"/>
    <x v="1"/>
    <x v="0"/>
    <s v="Known Employee"/>
    <n v="3"/>
  </r>
  <r>
    <s v="TRN-9427"/>
    <x v="20"/>
    <x v="4"/>
    <s v="EMP-0403"/>
    <s v="PROMO-00"/>
    <s v="Cash"/>
    <n v="370"/>
    <s v="2024-06-13"/>
    <x v="5"/>
    <x v="1"/>
    <x v="0"/>
    <s v="Known Employee"/>
    <n v="7"/>
  </r>
  <r>
    <s v="TRN-9287"/>
    <x v="176"/>
    <x v="2"/>
    <s v="EMP-0305"/>
    <s v="PROMO-00"/>
    <s v="Debit Card"/>
    <n v="296"/>
    <s v="2024-06-14"/>
    <x v="5"/>
    <x v="1"/>
    <x v="0"/>
    <s v="Known Employee"/>
    <n v="4"/>
  </r>
  <r>
    <s v="TRN-9109"/>
    <x v="146"/>
    <x v="1"/>
    <s v="EMP-0104"/>
    <s v="PROMO-03"/>
    <s v="Mobile Payment"/>
    <n v="290.7"/>
    <s v="2024-06-15"/>
    <x v="5"/>
    <x v="1"/>
    <x v="0"/>
    <s v="Known Employee"/>
    <n v="3"/>
  </r>
  <r>
    <s v="TRN-9802"/>
    <x v="112"/>
    <x v="1"/>
    <s v="EMP-0103"/>
    <s v="PROMO-03"/>
    <s v="Credit Card"/>
    <n v="109.25"/>
    <s v="2024-06-15"/>
    <x v="5"/>
    <x v="1"/>
    <x v="0"/>
    <s v="Known Employee"/>
    <n v="6"/>
  </r>
  <r>
    <s v="TRN-9876"/>
    <x v="112"/>
    <x v="4"/>
    <s v="EMP-0404"/>
    <s v="PROMO-02"/>
    <s v="Cash"/>
    <n v="171"/>
    <s v="2024-06-15"/>
    <x v="5"/>
    <x v="1"/>
    <x v="0"/>
    <s v="Known Employee"/>
    <n v="6"/>
  </r>
  <r>
    <s v="TRN-9646"/>
    <x v="52"/>
    <x v="2"/>
    <s v="EMP-0305"/>
    <s v="PROMO-00"/>
    <s v="Credit Card"/>
    <n v="95"/>
    <s v="2024-06-17"/>
    <x v="5"/>
    <x v="1"/>
    <x v="0"/>
    <s v="Known Employee"/>
    <n v="4"/>
  </r>
  <r>
    <s v="TRN-9515"/>
    <x v="184"/>
    <x v="4"/>
    <s v="EMP-0401"/>
    <s v="PROMO-01"/>
    <s v="Credit Card"/>
    <n v="327.25"/>
    <s v="2024-06-18"/>
    <x v="5"/>
    <x v="1"/>
    <x v="0"/>
    <s v="Known Employee"/>
    <n v="4"/>
  </r>
  <r>
    <s v="TRN-9736"/>
    <x v="36"/>
    <x v="1"/>
    <s v="EMP-0105"/>
    <s v="PROMO-01"/>
    <s v="Mobile Payment"/>
    <n v="398.65"/>
    <s v="2024-06-19"/>
    <x v="5"/>
    <x v="1"/>
    <x v="0"/>
    <s v="Known Employee"/>
    <n v="9"/>
  </r>
  <r>
    <s v="TRN-9716"/>
    <x v="23"/>
    <x v="7"/>
    <s v="EMP-0303"/>
    <s v="PROMO-00"/>
    <s v="Credit Card"/>
    <n v="560"/>
    <s v="2024-06-20"/>
    <x v="5"/>
    <x v="1"/>
    <x v="0"/>
    <s v="Known Employee"/>
    <n v="4"/>
  </r>
  <r>
    <s v="TRN-9484"/>
    <x v="33"/>
    <x v="1"/>
    <s v="EMP-0101"/>
    <s v="PROMO-00"/>
    <s v="Cash"/>
    <n v="399"/>
    <s v="2024-06-22"/>
    <x v="5"/>
    <x v="1"/>
    <x v="0"/>
    <s v="Known Employee"/>
    <n v="4"/>
  </r>
  <r>
    <s v="TRN-9965"/>
    <x v="90"/>
    <x v="1"/>
    <s v="EMP-0101"/>
    <s v="PROMO-00"/>
    <s v="Mobile Payment"/>
    <n v="348"/>
    <s v="2024-06-22"/>
    <x v="5"/>
    <x v="1"/>
    <x v="0"/>
    <s v="Known Employee"/>
    <n v="7"/>
  </r>
  <r>
    <s v="TRN-9140"/>
    <x v="65"/>
    <x v="3"/>
    <s v="EMP-0205"/>
    <s v="PROMO-02"/>
    <s v="Debit Card"/>
    <n v="256.5"/>
    <s v="2024-06-22"/>
    <x v="5"/>
    <x v="1"/>
    <x v="0"/>
    <s v="Known Employee"/>
    <n v="4"/>
  </r>
  <r>
    <s v="TRN-9019"/>
    <x v="185"/>
    <x v="1"/>
    <s v="EMP-0101"/>
    <s v="PROMO-00"/>
    <s v="Unknown"/>
    <n v="340"/>
    <s v="2024-06-25"/>
    <x v="5"/>
    <x v="1"/>
    <x v="0"/>
    <s v="Known Employee"/>
    <n v="5"/>
  </r>
  <r>
    <s v="TRN-9066"/>
    <x v="60"/>
    <x v="2"/>
    <s v="EMP-0305"/>
    <s v="PROMO-00"/>
    <s v="Cash"/>
    <n v="370"/>
    <s v="2024-06-26"/>
    <x v="5"/>
    <x v="1"/>
    <x v="0"/>
    <s v="Known Employee"/>
    <n v="4"/>
  </r>
  <r>
    <s v="TRN-9737"/>
    <x v="141"/>
    <x v="9"/>
    <s v="EMP-0303"/>
    <s v="PROMO-00"/>
    <s v=" Mobile Payment "/>
    <n v="835"/>
    <s v="2024-07-03"/>
    <x v="6"/>
    <x v="1"/>
    <x v="0"/>
    <s v="Known Employee"/>
    <n v="2"/>
  </r>
  <r>
    <s v="TRN-9156"/>
    <x v="88"/>
    <x v="4"/>
    <s v=" EMP-0401 "/>
    <s v="PROMO-00"/>
    <s v="Credit Card"/>
    <n v="370"/>
    <s v="2024-07-04"/>
    <x v="6"/>
    <x v="1"/>
    <x v="0"/>
    <s v="Known Employee"/>
    <n v="5"/>
  </r>
  <r>
    <s v="TRN-9673"/>
    <x v="197"/>
    <x v="1"/>
    <s v="EMP-0102"/>
    <s v="PROMO-01"/>
    <s v="Debit Card"/>
    <n v="425"/>
    <s v="2024-07-05"/>
    <x v="6"/>
    <x v="1"/>
    <x v="0"/>
    <s v="Known Employee"/>
    <n v="4"/>
  </r>
  <r>
    <s v="TRN-9130"/>
    <x v="47"/>
    <x v="8"/>
    <s v="EMP-0405"/>
    <s v="PROMO-00"/>
    <s v="Cash"/>
    <n v="150"/>
    <s v="2024-07-05"/>
    <x v="6"/>
    <x v="1"/>
    <x v="0"/>
    <s v="Known Employee"/>
    <n v="5"/>
  </r>
  <r>
    <s v="TRN-9487"/>
    <x v="28"/>
    <x v="4"/>
    <s v="EMP-0402"/>
    <s v="PROMO-00"/>
    <s v=" Debit Card "/>
    <n v="430"/>
    <s v="2024-07-06"/>
    <x v="6"/>
    <x v="1"/>
    <x v="0"/>
    <s v="Known Employee"/>
    <n v="8"/>
  </r>
  <r>
    <s v="TRN-9519"/>
    <x v="65"/>
    <x v="2"/>
    <s v="EMP-0302"/>
    <s v="PROMO-01"/>
    <s v="Cash"/>
    <n v="613.70000000000005"/>
    <s v="2024-07-07"/>
    <x v="6"/>
    <x v="1"/>
    <x v="0"/>
    <s v="Known Employee"/>
    <n v="4"/>
  </r>
  <r>
    <s v="TRN-9769"/>
    <x v="104"/>
    <x v="3"/>
    <s v="EMP-0204"/>
    <s v="PROMO-00"/>
    <s v="Credit Card"/>
    <n v="405"/>
    <s v="2024-07-09"/>
    <x v="6"/>
    <x v="1"/>
    <x v="0"/>
    <s v="Known Employee"/>
    <n v="6"/>
  </r>
  <r>
    <s v="TRN-9001"/>
    <x v="99"/>
    <x v="5"/>
    <s v="EMP-0104"/>
    <s v="PROMO-00"/>
    <s v="Cash"/>
    <n v="535"/>
    <s v="2024-07-09"/>
    <x v="6"/>
    <x v="1"/>
    <x v="0"/>
    <s v="Known Employee"/>
    <n v="6"/>
  </r>
  <r>
    <s v="TRN-9097"/>
    <x v="145"/>
    <x v="3"/>
    <s v="EMP-0203"/>
    <s v="PROMO-03"/>
    <s v="Credit Card"/>
    <n v="205.2"/>
    <s v="2024-07-10"/>
    <x v="6"/>
    <x v="1"/>
    <x v="0"/>
    <s v="Known Employee"/>
    <n v="2"/>
  </r>
  <r>
    <s v="TRN-9408"/>
    <x v="142"/>
    <x v="1"/>
    <s v=" EMP-0103 "/>
    <s v="PROMO-02"/>
    <s v="Cash"/>
    <n v="585"/>
    <s v="2024-07-13"/>
    <x v="6"/>
    <x v="1"/>
    <x v="0"/>
    <s v="Known Employee"/>
    <n v="3"/>
  </r>
  <r>
    <s v=" TRN-9624 "/>
    <x v="193"/>
    <x v="3"/>
    <s v="EMP-0203"/>
    <s v="PROMO-01"/>
    <s v="Credit Card"/>
    <n v="522.75"/>
    <s v="2024-07-13"/>
    <x v="6"/>
    <x v="1"/>
    <x v="0"/>
    <s v="Known Employee"/>
    <n v="5"/>
  </r>
  <r>
    <s v="TRN-9491"/>
    <x v="163"/>
    <x v="3"/>
    <s v="EMP-0202"/>
    <s v="PROMO-00"/>
    <s v=" Credit Card "/>
    <n v="340"/>
    <s v="2024-07-13"/>
    <x v="6"/>
    <x v="1"/>
    <x v="0"/>
    <s v="Known Employee"/>
    <n v="4"/>
  </r>
  <r>
    <s v="TRN-9810"/>
    <x v="11"/>
    <x v="1"/>
    <s v="EMP-0104"/>
    <s v="PROMO-00"/>
    <s v="Debit Card"/>
    <n v="223"/>
    <s v="2024-07-14"/>
    <x v="6"/>
    <x v="1"/>
    <x v="0"/>
    <s v="Known Employee"/>
    <n v="8"/>
  </r>
  <r>
    <s v="TRN-9442"/>
    <x v="32"/>
    <x v="4"/>
    <s v="EMP-0405"/>
    <s v="PROMO-00"/>
    <s v="Cash"/>
    <n v="640"/>
    <s v="2024-07-15"/>
    <x v="6"/>
    <x v="1"/>
    <x v="0"/>
    <s v="Known Employee"/>
    <n v="6"/>
  </r>
  <r>
    <s v="TRN-9828"/>
    <x v="99"/>
    <x v="1"/>
    <s v="EMP-0101"/>
    <s v="PROMO-00"/>
    <s v="Debit Card"/>
    <n v="455"/>
    <s v="2024-07-19"/>
    <x v="6"/>
    <x v="1"/>
    <x v="0"/>
    <s v="Known Employee"/>
    <n v="6"/>
  </r>
  <r>
    <s v="TRN-9971"/>
    <x v="200"/>
    <x v="1"/>
    <s v="EMP-0103"/>
    <s v="PROMO-00"/>
    <s v="Debit Card"/>
    <n v="180"/>
    <s v="2024-07-19"/>
    <x v="6"/>
    <x v="1"/>
    <x v="0"/>
    <s v="Known Employee"/>
    <n v="3"/>
  </r>
  <r>
    <s v="TRN-9579"/>
    <x v="201"/>
    <x v="3"/>
    <s v="EMP-0203"/>
    <s v="PROMO-00"/>
    <s v="Cash"/>
    <n v="570"/>
    <s v="2024-07-25"/>
    <x v="6"/>
    <x v="1"/>
    <x v="0"/>
    <s v="Known Employee"/>
    <n v="1"/>
  </r>
  <r>
    <s v="TRN-9024"/>
    <x v="5"/>
    <x v="3"/>
    <s v="EMP-0204"/>
    <s v="PROMO-00"/>
    <s v="Credit Card"/>
    <n v="255"/>
    <s v="2024-07-26"/>
    <x v="6"/>
    <x v="1"/>
    <x v="0"/>
    <s v="Known Employee"/>
    <n v="5"/>
  </r>
  <r>
    <s v="TRN-9551"/>
    <x v="98"/>
    <x v="1"/>
    <s v="EMP-0101"/>
    <s v="PROMO-00"/>
    <s v="Cash"/>
    <n v="415"/>
    <s v="2024-08-03"/>
    <x v="7"/>
    <x v="3"/>
    <x v="0"/>
    <s v="Known Employee"/>
    <n v="4"/>
  </r>
  <r>
    <s v="TRN-9583"/>
    <x v="123"/>
    <x v="4"/>
    <s v="EMP-0402"/>
    <s v="PROMO-00"/>
    <s v="Debit Card"/>
    <n v="601"/>
    <s v="2024-08-05"/>
    <x v="7"/>
    <x v="3"/>
    <x v="0"/>
    <s v="Known Employee"/>
    <n v="5"/>
  </r>
  <r>
    <s v="TRN-9183"/>
    <x v="102"/>
    <x v="2"/>
    <s v="EMP-0304"/>
    <s v="PROMO-00"/>
    <s v="Unknown"/>
    <n v="465"/>
    <s v="2024-08-07"/>
    <x v="7"/>
    <x v="3"/>
    <x v="0"/>
    <s v="Known Employee"/>
    <n v="5"/>
  </r>
  <r>
    <s v="TRN-9909"/>
    <x v="202"/>
    <x v="3"/>
    <s v="EMP-0205"/>
    <s v="PROMO-00"/>
    <s v="Mobile Payment"/>
    <n v="160"/>
    <s v="2024-08-07"/>
    <x v="7"/>
    <x v="3"/>
    <x v="0"/>
    <s v="Known Employee"/>
    <n v="3"/>
  </r>
  <r>
    <s v="TRN-9517"/>
    <x v="121"/>
    <x v="2"/>
    <s v="EMP-0305"/>
    <s v="PROMO-00"/>
    <s v="Mobile Payment"/>
    <n v="414"/>
    <s v="2024-08-12"/>
    <x v="7"/>
    <x v="3"/>
    <x v="0"/>
    <s v="Known Employee"/>
    <n v="3"/>
  </r>
  <r>
    <s v="TRN-9499"/>
    <x v="203"/>
    <x v="4"/>
    <s v="EMP-0404"/>
    <s v="PROMO-03"/>
    <s v="Credit Card"/>
    <n v="755.25"/>
    <s v="2024-08-14"/>
    <x v="7"/>
    <x v="3"/>
    <x v="0"/>
    <s v="Known Employee"/>
    <n v="2"/>
  </r>
  <r>
    <s v="TRN-9300"/>
    <x v="133"/>
    <x v="3"/>
    <s v="EMP-0201"/>
    <s v="PROMO-03"/>
    <s v="Debit Card"/>
    <n v="302.10000000000002"/>
    <s v="2024-08-14"/>
    <x v="7"/>
    <x v="3"/>
    <x v="0"/>
    <s v="Known Employee"/>
    <n v="5"/>
  </r>
  <r>
    <s v=" TRN-9565 "/>
    <x v="204"/>
    <x v="4"/>
    <s v="EMP-0402"/>
    <s v="PROMO-00"/>
    <s v="Credit Card"/>
    <n v="640"/>
    <s v="2024-08-14"/>
    <x v="7"/>
    <x v="3"/>
    <x v="0"/>
    <s v="Known Employee"/>
    <n v="2"/>
  </r>
  <r>
    <s v="TRN-9340"/>
    <x v="1"/>
    <x v="3"/>
    <s v="EMP-0201"/>
    <s v="PROMO-00"/>
    <s v="Credit Card"/>
    <n v="70"/>
    <s v="2024-08-15"/>
    <x v="7"/>
    <x v="3"/>
    <x v="0"/>
    <s v="Known Employee"/>
    <n v="4"/>
  </r>
  <r>
    <s v="TRN-9475"/>
    <x v="119"/>
    <x v="4"/>
    <s v="EMP-0405"/>
    <s v="No Promotion"/>
    <s v="Debit Card"/>
    <n v="380"/>
    <s v="2024-08-16"/>
    <x v="7"/>
    <x v="3"/>
    <x v="1"/>
    <s v="Known Employee"/>
    <n v="5"/>
  </r>
  <r>
    <s v="TRN-9473"/>
    <x v="35"/>
    <x v="6"/>
    <s v=" EMP-0203 "/>
    <s v="PROMO-03"/>
    <s v="Credit Card"/>
    <n v="318.25"/>
    <s v="2024-08-16"/>
    <x v="7"/>
    <x v="3"/>
    <x v="0"/>
    <s v="Known Employee"/>
    <n v="7"/>
  </r>
  <r>
    <s v="TRN-9759"/>
    <x v="32"/>
    <x v="1"/>
    <s v="EMP-0101"/>
    <s v="PROMO-02"/>
    <s v="Cash"/>
    <n v="207"/>
    <s v="2024-08-18"/>
    <x v="7"/>
    <x v="3"/>
    <x v="0"/>
    <s v="Known Employee"/>
    <n v="6"/>
  </r>
  <r>
    <s v="TRN-9182"/>
    <x v="20"/>
    <x v="4"/>
    <s v="EMP-0405"/>
    <s v="PROMO-02"/>
    <s v="Credit Card"/>
    <n v="162"/>
    <s v="2024-08-18"/>
    <x v="7"/>
    <x v="3"/>
    <x v="0"/>
    <s v="Known Employee"/>
    <n v="7"/>
  </r>
  <r>
    <s v="TRN-9355"/>
    <x v="177"/>
    <x v="2"/>
    <s v="EMP-0303"/>
    <s v=" PROMO-03 "/>
    <s v="Credit Card"/>
    <n v="171"/>
    <s v="2024-08-21"/>
    <x v="7"/>
    <x v="3"/>
    <x v="0"/>
    <s v="Known Employee"/>
    <n v="5"/>
  </r>
  <r>
    <s v="TRN-9020"/>
    <x v="81"/>
    <x v="1"/>
    <s v="EMP-0101"/>
    <s v="PROMO-00"/>
    <s v="Credit Card"/>
    <n v="201"/>
    <s v="2024-08-22"/>
    <x v="7"/>
    <x v="3"/>
    <x v="0"/>
    <s v="Known Employee"/>
    <n v="3"/>
  </r>
  <r>
    <s v="TRN-9987"/>
    <x v="44"/>
    <x v="4"/>
    <s v="EMP-0405"/>
    <s v="PROMO-00"/>
    <s v="Debit Card"/>
    <n v="310"/>
    <s v="2024-08-24"/>
    <x v="7"/>
    <x v="3"/>
    <x v="0"/>
    <s v="Known Employee"/>
    <n v="5"/>
  </r>
  <r>
    <s v="TRN-9616"/>
    <x v="160"/>
    <x v="1"/>
    <s v="EMP-0101"/>
    <s v="PROMO-00"/>
    <s v="Credit Card"/>
    <n v="390"/>
    <s v="2024-08-25"/>
    <x v="7"/>
    <x v="3"/>
    <x v="0"/>
    <s v="Known Employee"/>
    <n v="3"/>
  </r>
  <r>
    <s v="TRN-9992"/>
    <x v="154"/>
    <x v="3"/>
    <s v="EMP-0202"/>
    <s v="PROMO-03"/>
    <s v="Cash"/>
    <n v="408.5"/>
    <s v="2024-08-25"/>
    <x v="7"/>
    <x v="3"/>
    <x v="0"/>
    <s v="Known Employee"/>
    <n v="7"/>
  </r>
  <r>
    <s v="TRN-9621"/>
    <x v="184"/>
    <x v="2"/>
    <s v="EMP-0305"/>
    <s v="PROMO-01"/>
    <s v="Mobile Payment"/>
    <n v="196.35"/>
    <s v="2024-08-28"/>
    <x v="7"/>
    <x v="3"/>
    <x v="0"/>
    <s v="Known Employee"/>
    <n v="4"/>
  </r>
  <r>
    <s v="TRN-9462"/>
    <x v="20"/>
    <x v="3"/>
    <s v="EMP-0204"/>
    <s v="PROMO-00"/>
    <s v="Debit Card"/>
    <n v="260"/>
    <s v="2024-08-29"/>
    <x v="7"/>
    <x v="3"/>
    <x v="0"/>
    <s v="Known Employee"/>
    <n v="7"/>
  </r>
  <r>
    <s v="TRN-9762"/>
    <x v="12"/>
    <x v="2"/>
    <s v="EMP-0301"/>
    <s v="PROMO-00"/>
    <s v="Cash"/>
    <n v="155"/>
    <s v="2024-09-01"/>
    <x v="8"/>
    <x v="4"/>
    <x v="0"/>
    <s v="Known Employee"/>
    <n v="8"/>
  </r>
  <r>
    <s v="TRN-9149"/>
    <x v="8"/>
    <x v="2"/>
    <s v="EMP-0304"/>
    <s v="PROMO-00"/>
    <s v="Debit Card"/>
    <n v="68"/>
    <s v="2024-09-02"/>
    <x v="8"/>
    <x v="4"/>
    <x v="0"/>
    <s v="Known Employee"/>
    <n v="7"/>
  </r>
  <r>
    <s v="TRN-9879"/>
    <x v="39"/>
    <x v="3"/>
    <s v="EMP-0201"/>
    <s v="PROMO-00"/>
    <s v="Credit Card"/>
    <n v="344"/>
    <s v="2024-09-02"/>
    <x v="8"/>
    <x v="4"/>
    <x v="0"/>
    <s v="Known Employee"/>
    <n v="6"/>
  </r>
  <r>
    <s v="TRN-9016"/>
    <x v="90"/>
    <x v="3"/>
    <s v="EMP-0201"/>
    <s v="PROMO-00"/>
    <s v="Credit Card"/>
    <n v="556"/>
    <s v="2024-09-07"/>
    <x v="8"/>
    <x v="4"/>
    <x v="0"/>
    <s v="Known Employee"/>
    <n v="7"/>
  </r>
  <r>
    <s v="TRN-9259"/>
    <x v="88"/>
    <x v="3"/>
    <s v="EMP-0202"/>
    <s v="PROMO-00"/>
    <s v="Cash"/>
    <n v="174"/>
    <s v="2024-09-08"/>
    <x v="8"/>
    <x v="4"/>
    <x v="0"/>
    <s v="Known Employee"/>
    <n v="5"/>
  </r>
  <r>
    <s v="TRN-9651"/>
    <x v="196"/>
    <x v="3"/>
    <s v="Unknown"/>
    <s v="PROMO-00"/>
    <s v="Unknown"/>
    <n v="340"/>
    <s v="2024-09-08"/>
    <x v="8"/>
    <x v="4"/>
    <x v="0"/>
    <s v="UnKnown Employee"/>
    <n v="4"/>
  </r>
  <r>
    <s v="TRN-9091"/>
    <x v="49"/>
    <x v="2"/>
    <s v="EMP-0305"/>
    <s v="PROMO-00"/>
    <s v="Mobile Payment"/>
    <n v="444"/>
    <s v="2024-09-09"/>
    <x v="8"/>
    <x v="4"/>
    <x v="0"/>
    <s v="Known Employee"/>
    <n v="4"/>
  </r>
  <r>
    <s v="TRN-9890"/>
    <x v="180"/>
    <x v="4"/>
    <s v="EMP-0402"/>
    <s v="PROMO-00"/>
    <s v="Cash"/>
    <n v="565"/>
    <s v="2024-09-10"/>
    <x v="8"/>
    <x v="4"/>
    <x v="0"/>
    <s v="Known Employee"/>
    <n v="6"/>
  </r>
  <r>
    <s v="TRN-9089"/>
    <x v="104"/>
    <x v="1"/>
    <s v="EMP-0101"/>
    <s v="PROMO-00"/>
    <s v="Debit Card"/>
    <n v="395"/>
    <s v="2024-09-11"/>
    <x v="8"/>
    <x v="4"/>
    <x v="0"/>
    <s v="Known Employee"/>
    <n v="6"/>
  </r>
  <r>
    <s v="TRN-9816"/>
    <x v="114"/>
    <x v="3"/>
    <s v="EMP-0204"/>
    <s v="PROMO-00"/>
    <s v="Debit Card"/>
    <n v="425"/>
    <s v="2024-09-14"/>
    <x v="8"/>
    <x v="4"/>
    <x v="0"/>
    <s v="Known Employee"/>
    <n v="4"/>
  </r>
  <r>
    <s v="TRN-9676"/>
    <x v="18"/>
    <x v="4"/>
    <s v="EMP-0404"/>
    <s v="PROMO-00"/>
    <s v="Mobile Payment"/>
    <n v="614"/>
    <s v="2024-09-16"/>
    <x v="8"/>
    <x v="4"/>
    <x v="0"/>
    <s v="Known Employee"/>
    <n v="5"/>
  </r>
  <r>
    <s v="TRN-9920"/>
    <x v="70"/>
    <x v="5"/>
    <s v="EMP-0102"/>
    <s v="PROMO-00"/>
    <s v="Mobile Payment"/>
    <n v="160"/>
    <s v="2024-09-18"/>
    <x v="8"/>
    <x v="4"/>
    <x v="0"/>
    <s v="Known Employee"/>
    <n v="4"/>
  </r>
  <r>
    <s v="TRN-9813"/>
    <x v="205"/>
    <x v="2"/>
    <s v="EMP-0303"/>
    <s v="PROMO-00"/>
    <s v="Mobile Payment"/>
    <n v="279"/>
    <s v="2024-09-19"/>
    <x v="8"/>
    <x v="4"/>
    <x v="0"/>
    <s v="Known Employee"/>
    <n v="1"/>
  </r>
  <r>
    <s v="TRN-9196"/>
    <x v="193"/>
    <x v="2"/>
    <s v="EMP-0304"/>
    <s v="PROMO-02"/>
    <s v="Cash"/>
    <n v="320.39999999999998"/>
    <s v="2024-09-19"/>
    <x v="8"/>
    <x v="4"/>
    <x v="0"/>
    <s v="Known Employee"/>
    <n v="5"/>
  </r>
  <r>
    <s v="TRN-9418"/>
    <x v="18"/>
    <x v="4"/>
    <s v="EMP-0403"/>
    <s v="PROMO-00"/>
    <s v="Mobile Payment"/>
    <n v="420"/>
    <s v="2024-09-19"/>
    <x v="8"/>
    <x v="4"/>
    <x v="0"/>
    <s v="Known Employee"/>
    <n v="5"/>
  </r>
  <r>
    <s v="TRN-9536"/>
    <x v="196"/>
    <x v="2"/>
    <s v="EMP-0305"/>
    <s v="PROMO-00"/>
    <s v="Credit Card"/>
    <n v="150"/>
    <s v="2024-09-19"/>
    <x v="8"/>
    <x v="4"/>
    <x v="0"/>
    <s v="Known Employee"/>
    <n v="4"/>
  </r>
  <r>
    <s v="TRN-9232"/>
    <x v="69"/>
    <x v="6"/>
    <s v="EMP-0201"/>
    <s v="PROMO-00"/>
    <s v="Cash"/>
    <n v="295"/>
    <s v="2024-09-20"/>
    <x v="8"/>
    <x v="4"/>
    <x v="0"/>
    <s v="Known Employee"/>
    <n v="7"/>
  </r>
  <r>
    <s v="TRN-9680"/>
    <x v="206"/>
    <x v="2"/>
    <s v="EMP-0304"/>
    <s v="PROMO-00"/>
    <s v="Cash"/>
    <n v="314"/>
    <s v="2024-09-21"/>
    <x v="8"/>
    <x v="4"/>
    <x v="0"/>
    <s v="Known Employee"/>
    <n v="2"/>
  </r>
  <r>
    <s v="TRN-9942"/>
    <x v="28"/>
    <x v="4"/>
    <s v="EMP-0403"/>
    <s v="PROMO-00"/>
    <s v="Credit Card"/>
    <n v="569"/>
    <s v="2024-09-21"/>
    <x v="8"/>
    <x v="4"/>
    <x v="0"/>
    <s v="Known Employee"/>
    <n v="8"/>
  </r>
  <r>
    <s v="TRN-9228"/>
    <x v="158"/>
    <x v="3"/>
    <s v="Unknown"/>
    <s v="PROMO-00"/>
    <s v="Mobile Payment"/>
    <n v="375"/>
    <s v="2024-09-21"/>
    <x v="8"/>
    <x v="4"/>
    <x v="0"/>
    <s v="UnKnown Employee"/>
    <n v="3"/>
  </r>
  <r>
    <s v="TRN-9174"/>
    <x v="196"/>
    <x v="2"/>
    <s v="EMP-0305"/>
    <s v="PROMO-00"/>
    <s v="Mobile Payment"/>
    <n v="95"/>
    <s v="2024-09-21"/>
    <x v="8"/>
    <x v="4"/>
    <x v="0"/>
    <s v="Known Employee"/>
    <n v="4"/>
  </r>
  <r>
    <s v="TRN-9670"/>
    <x v="207"/>
    <x v="3"/>
    <s v="EMP-0205"/>
    <s v="PROMO-00"/>
    <s v=" Credit Card "/>
    <n v="210"/>
    <s v="2024-09-23"/>
    <x v="8"/>
    <x v="4"/>
    <x v="0"/>
    <s v="Known Employee"/>
    <n v="2"/>
  </r>
  <r>
    <s v=" TRN-9818 "/>
    <x v="133"/>
    <x v="4"/>
    <s v="EMP-0402"/>
    <s v="PROMO-02"/>
    <s v="Mobile Payment"/>
    <n v="387"/>
    <s v="2024-09-24"/>
    <x v="8"/>
    <x v="4"/>
    <x v="0"/>
    <s v="Known Employee"/>
    <n v="5"/>
  </r>
  <r>
    <s v="TRN-9940"/>
    <x v="147"/>
    <x v="2"/>
    <s v="EMP-0301"/>
    <s v="PROMO-03"/>
    <s v="Cash"/>
    <n v="199.5"/>
    <s v="2024-09-26"/>
    <x v="8"/>
    <x v="4"/>
    <x v="0"/>
    <s v="Known Employee"/>
    <n v="4"/>
  </r>
  <r>
    <s v="TRN-9336"/>
    <x v="154"/>
    <x v="2"/>
    <s v="EMP-0302"/>
    <s v="PROMO-00"/>
    <s v="Debit Card"/>
    <n v="285"/>
    <s v="2024-09-27"/>
    <x v="8"/>
    <x v="4"/>
    <x v="0"/>
    <s v="Known Employee"/>
    <n v="7"/>
  </r>
  <r>
    <s v="TRN-9585"/>
    <x v="147"/>
    <x v="1"/>
    <s v="EMP-0102"/>
    <s v="PROMO-03"/>
    <s v="Credit Card"/>
    <n v="61.75"/>
    <s v="2024-09-29"/>
    <x v="8"/>
    <x v="4"/>
    <x v="0"/>
    <s v="Known Employee"/>
    <n v="4"/>
  </r>
  <r>
    <s v="TRN-9126"/>
    <x v="44"/>
    <x v="3"/>
    <s v="EMP-0201"/>
    <s v="PROMO-00"/>
    <s v="Debit Card"/>
    <n v="333"/>
    <s v="2024-09-30"/>
    <x v="8"/>
    <x v="4"/>
    <x v="0"/>
    <s v="Known Employee"/>
    <n v="5"/>
  </r>
  <r>
    <s v=" TRN-9266 "/>
    <x v="37"/>
    <x v="2"/>
    <s v="EMP-0304"/>
    <s v="PROMO-00"/>
    <s v="Cash"/>
    <n v="386"/>
    <s v="2024-10-07"/>
    <x v="9"/>
    <x v="5"/>
    <x v="0"/>
    <s v="Known Employee"/>
    <n v="4"/>
  </r>
  <r>
    <s v="TRN-9307"/>
    <x v="123"/>
    <x v="3"/>
    <s v="EMP-0203"/>
    <s v="PROMO-00"/>
    <s v="Unknown"/>
    <n v="410"/>
    <s v="2024-10-07"/>
    <x v="9"/>
    <x v="5"/>
    <x v="0"/>
    <s v="Known Employee"/>
    <n v="5"/>
  </r>
  <r>
    <s v="TRN-9278"/>
    <x v="208"/>
    <x v="3"/>
    <s v="EMP-0202"/>
    <s v="PROMO-00"/>
    <s v=" Cash "/>
    <n v="494"/>
    <s v="2024-10-07"/>
    <x v="9"/>
    <x v="5"/>
    <x v="0"/>
    <s v="Known Employee"/>
    <n v="1"/>
  </r>
  <r>
    <s v="TRN-9949"/>
    <x v="169"/>
    <x v="4"/>
    <s v="EMP-0403"/>
    <s v="PROMO-00"/>
    <s v="Mobile Payment"/>
    <n v="295"/>
    <s v="2024-10-11"/>
    <x v="9"/>
    <x v="5"/>
    <x v="0"/>
    <s v="Known Employee"/>
    <n v="5"/>
  </r>
  <r>
    <s v="TRN-9217"/>
    <x v="155"/>
    <x v="1"/>
    <s v="EMP-0102"/>
    <s v="PROMO-00"/>
    <s v="Credit Card"/>
    <n v="655"/>
    <s v="2024-10-13"/>
    <x v="9"/>
    <x v="5"/>
    <x v="0"/>
    <s v="Known Employee"/>
    <n v="3"/>
  </r>
  <r>
    <s v="TRN-9873"/>
    <x v="173"/>
    <x v="4"/>
    <s v="EMP-0404"/>
    <s v="PROMO-02"/>
    <s v="Debit Card"/>
    <n v="104.4"/>
    <s v="2024-10-16"/>
    <x v="9"/>
    <x v="5"/>
    <x v="0"/>
    <s v="Known Employee"/>
    <n v="5"/>
  </r>
  <r>
    <s v="TRN-9015"/>
    <x v="68"/>
    <x v="4"/>
    <s v="EMP-0404"/>
    <s v="PROMO-01"/>
    <s v="Mobile Payment"/>
    <n v="153"/>
    <s v="2024-10-17"/>
    <x v="9"/>
    <x v="5"/>
    <x v="0"/>
    <s v="Known Employee"/>
    <n v="4"/>
  </r>
  <r>
    <s v="TRN-9429"/>
    <x v="19"/>
    <x v="1"/>
    <s v="EMP-0101"/>
    <s v="PROMO-00"/>
    <s v="Debit Card"/>
    <n v="496"/>
    <s v="2024-10-17"/>
    <x v="9"/>
    <x v="5"/>
    <x v="0"/>
    <s v="Known Employee"/>
    <n v="6"/>
  </r>
  <r>
    <s v="TRN-9628"/>
    <x v="19"/>
    <x v="2"/>
    <s v="EMP-0305"/>
    <s v="PROMO-00"/>
    <s v="Cash"/>
    <n v="346"/>
    <s v="2024-10-21"/>
    <x v="9"/>
    <x v="5"/>
    <x v="0"/>
    <s v="Known Employee"/>
    <n v="6"/>
  </r>
  <r>
    <s v="TRN-9822"/>
    <x v="109"/>
    <x v="3"/>
    <s v="EMP-0204"/>
    <s v="PROMO-00"/>
    <s v="Mobile Payment"/>
    <n v="120"/>
    <s v="2024-10-23"/>
    <x v="9"/>
    <x v="5"/>
    <x v="0"/>
    <s v="Known Employee"/>
    <n v="4"/>
  </r>
  <r>
    <s v="TRN-9783"/>
    <x v="209"/>
    <x v="3"/>
    <s v="Unknown"/>
    <s v="PROMO-00"/>
    <s v="Cash"/>
    <n v="174"/>
    <s v="2024-10-25"/>
    <x v="9"/>
    <x v="5"/>
    <x v="0"/>
    <s v="UnKnown Employee"/>
    <n v="2"/>
  </r>
  <r>
    <s v="TRN-9773"/>
    <x v="12"/>
    <x v="8"/>
    <s v="EMP-0405"/>
    <s v="PROMO-00"/>
    <s v="Cash"/>
    <n v="685"/>
    <s v="2024-10-27"/>
    <x v="9"/>
    <x v="5"/>
    <x v="0"/>
    <s v="Known Employee"/>
    <n v="8"/>
  </r>
  <r>
    <s v="TRN-9414"/>
    <x v="74"/>
    <x v="1"/>
    <s v="EMP-0104"/>
    <s v="PROMO-00"/>
    <s v="Credit Card"/>
    <n v="240"/>
    <s v="2024-10-31"/>
    <x v="9"/>
    <x v="5"/>
    <x v="0"/>
    <s v="Known Employee"/>
    <n v="8"/>
  </r>
  <r>
    <s v="TRN-9518"/>
    <x v="96"/>
    <x v="3"/>
    <s v="EMP-0201"/>
    <s v="PROMO-02"/>
    <s v="Debit Card"/>
    <n v="553.5"/>
    <s v="2024-11-03"/>
    <x v="10"/>
    <x v="5"/>
    <x v="0"/>
    <s v="Known Employee"/>
    <n v="6"/>
  </r>
  <r>
    <s v="TRN-9077"/>
    <x v="176"/>
    <x v="3"/>
    <s v="EMP-0203"/>
    <s v="PROMO-00"/>
    <s v="Cash"/>
    <n v="180"/>
    <s v="2024-11-05"/>
    <x v="10"/>
    <x v="5"/>
    <x v="0"/>
    <s v="Known Employee"/>
    <n v="4"/>
  </r>
  <r>
    <s v="TRN-9481"/>
    <x v="105"/>
    <x v="1"/>
    <s v="EMP-0102"/>
    <s v="PROMO-00"/>
    <s v="Credit Card"/>
    <n v="326"/>
    <s v="2024-11-06"/>
    <x v="10"/>
    <x v="5"/>
    <x v="0"/>
    <s v="Known Employee"/>
    <n v="4"/>
  </r>
  <r>
    <s v="TRN-9655"/>
    <x v="124"/>
    <x v="4"/>
    <s v="EMP-0402"/>
    <s v="PROMO-00"/>
    <s v="Debit Card"/>
    <n v="100"/>
    <s v="2024-11-06"/>
    <x v="10"/>
    <x v="5"/>
    <x v="0"/>
    <s v="Known Employee"/>
    <n v="4"/>
  </r>
  <r>
    <s v="TRN-9402"/>
    <x v="97"/>
    <x v="1"/>
    <s v="EMP-0101"/>
    <s v="PROMO-02"/>
    <s v="Credit Card"/>
    <n v="54"/>
    <s v="2024-11-07"/>
    <x v="10"/>
    <x v="5"/>
    <x v="0"/>
    <s v="Known Employee"/>
    <n v="6"/>
  </r>
  <r>
    <s v="TRN-9098"/>
    <x v="28"/>
    <x v="3"/>
    <s v="EMP-0201"/>
    <s v="PROMO-00"/>
    <s v="Unknown"/>
    <n v="170"/>
    <s v="2024-11-09"/>
    <x v="10"/>
    <x v="5"/>
    <x v="0"/>
    <s v="Known Employee"/>
    <n v="8"/>
  </r>
  <r>
    <s v="TRN-9434"/>
    <x v="181"/>
    <x v="1"/>
    <s v=" EMP-0105 "/>
    <s v="PROMO-03"/>
    <s v="Mobile Payment"/>
    <n v="310.64999999999998"/>
    <s v="2024-11-09"/>
    <x v="10"/>
    <x v="5"/>
    <x v="0"/>
    <s v="Known Employee"/>
    <n v="6"/>
  </r>
  <r>
    <s v="TRN-9995"/>
    <x v="53"/>
    <x v="1"/>
    <s v="EMP-0101"/>
    <s v="PROMO-00"/>
    <s v="Credit Card"/>
    <n v="690"/>
    <s v="2024-11-10"/>
    <x v="10"/>
    <x v="5"/>
    <x v="0"/>
    <s v="Known Employee"/>
    <n v="3"/>
  </r>
  <r>
    <s v="TRN-9722"/>
    <x v="94"/>
    <x v="4"/>
    <s v="EMP-0403"/>
    <s v="PROMO-00"/>
    <s v="Debit Card"/>
    <n v="434"/>
    <s v="2024-11-10"/>
    <x v="10"/>
    <x v="5"/>
    <x v="0"/>
    <s v="Known Employee"/>
    <n v="3"/>
  </r>
  <r>
    <s v=" TRN-9900 "/>
    <x v="178"/>
    <x v="2"/>
    <s v="EMP-0304"/>
    <s v="No Promotion"/>
    <s v="Cash"/>
    <n v="360"/>
    <s v="2024-11-14"/>
    <x v="10"/>
    <x v="5"/>
    <x v="1"/>
    <s v="Known Employee"/>
    <n v="2"/>
  </r>
  <r>
    <s v="TRN-9171"/>
    <x v="91"/>
    <x v="4"/>
    <s v="EMP-0402"/>
    <s v="PROMO-00"/>
    <s v="Credit Card"/>
    <n v="274"/>
    <s v="2024-11-15"/>
    <x v="10"/>
    <x v="5"/>
    <x v="0"/>
    <s v="Known Employee"/>
    <n v="2"/>
  </r>
  <r>
    <s v="TRN-9582"/>
    <x v="190"/>
    <x v="2"/>
    <s v=" EMP-0305 "/>
    <s v="PROMO-00"/>
    <s v="Credit Card"/>
    <n v="240"/>
    <s v="2024-11-16"/>
    <x v="10"/>
    <x v="5"/>
    <x v="0"/>
    <s v="Known Employee"/>
    <n v="2"/>
  </r>
  <r>
    <s v="TRN-9382"/>
    <x v="163"/>
    <x v="2"/>
    <s v="EMP-0304"/>
    <s v="PROMO-03"/>
    <s v="Debit Card"/>
    <n v="368.6"/>
    <s v="2024-11-16"/>
    <x v="10"/>
    <x v="5"/>
    <x v="0"/>
    <s v="Known Employee"/>
    <n v="4"/>
  </r>
  <r>
    <s v="TRN-9796"/>
    <x v="185"/>
    <x v="3"/>
    <s v="EMP-0201"/>
    <s v="PROMO-00"/>
    <s v="Unknown"/>
    <n v="800"/>
    <s v="2024-11-18"/>
    <x v="10"/>
    <x v="5"/>
    <x v="0"/>
    <s v="Known Employee"/>
    <n v="5"/>
  </r>
  <r>
    <s v="TRN-9746"/>
    <x v="86"/>
    <x v="4"/>
    <s v="EMP-0402"/>
    <s v="PROMO-00"/>
    <s v="Mobile Payment"/>
    <n v="340"/>
    <s v="2024-11-19"/>
    <x v="10"/>
    <x v="5"/>
    <x v="0"/>
    <s v="Known Employee"/>
    <n v="5"/>
  </r>
  <r>
    <s v="TRN-9601"/>
    <x v="125"/>
    <x v="3"/>
    <s v="EMP-0201"/>
    <s v="PROMO-00"/>
    <s v="Mobile Payment"/>
    <n v="85"/>
    <s v="2024-11-20"/>
    <x v="10"/>
    <x v="5"/>
    <x v="0"/>
    <s v="Known Employee"/>
    <n v="4"/>
  </r>
  <r>
    <s v="TRN-9884"/>
    <x v="28"/>
    <x v="4"/>
    <s v="EMP-0403"/>
    <s v="PROMO-00"/>
    <s v=" Mobile Payment "/>
    <n v="160"/>
    <s v="2024-11-21"/>
    <x v="10"/>
    <x v="5"/>
    <x v="0"/>
    <s v="Known Employee"/>
    <n v="8"/>
  </r>
  <r>
    <s v="TRN-9195"/>
    <x v="210"/>
    <x v="3"/>
    <s v=" EMP-0205 "/>
    <s v="PROMO-00"/>
    <s v="Unknown"/>
    <n v="335"/>
    <s v="2024-11-21"/>
    <x v="10"/>
    <x v="5"/>
    <x v="0"/>
    <s v="Known Employee"/>
    <n v="1"/>
  </r>
  <r>
    <s v="TRN-9352"/>
    <x v="199"/>
    <x v="4"/>
    <s v="EMP-0402"/>
    <s v="PROMO-00"/>
    <s v="Mobile Payment"/>
    <n v="315"/>
    <s v="2024-11-22"/>
    <x v="10"/>
    <x v="5"/>
    <x v="0"/>
    <s v="Known Employee"/>
    <n v="4"/>
  </r>
  <r>
    <s v="TRN-9142"/>
    <x v="169"/>
    <x v="4"/>
    <s v="EMP-0405"/>
    <s v="PROMO-01"/>
    <s v="Mobile Payment"/>
    <n v="85"/>
    <s v="2024-11-23"/>
    <x v="10"/>
    <x v="5"/>
    <x v="0"/>
    <s v="Known Employee"/>
    <n v="5"/>
  </r>
  <r>
    <s v="TRN-9522"/>
    <x v="161"/>
    <x v="2"/>
    <s v="EMP-0305"/>
    <s v="PROMO-00"/>
    <s v="Mobile Payment"/>
    <n v="130"/>
    <s v="2024-11-25"/>
    <x v="10"/>
    <x v="5"/>
    <x v="0"/>
    <s v="Known Employee"/>
    <n v="4"/>
  </r>
  <r>
    <s v="TRN-9161"/>
    <x v="14"/>
    <x v="5"/>
    <s v="EMP-0102"/>
    <s v=" PROMO-03 "/>
    <s v="Mobile Payment"/>
    <n v="154.85"/>
    <s v="2024-11-27"/>
    <x v="10"/>
    <x v="5"/>
    <x v="0"/>
    <s v="Known Employee"/>
    <n v="6"/>
  </r>
  <r>
    <s v="TRN-9313"/>
    <x v="44"/>
    <x v="4"/>
    <s v="EMP-0404"/>
    <s v="PROMO-00"/>
    <s v="Debit Card"/>
    <n v="395"/>
    <s v="2024-11-28"/>
    <x v="10"/>
    <x v="5"/>
    <x v="0"/>
    <s v="Known Employee"/>
    <n v="5"/>
  </r>
  <r>
    <s v="TRN-9431"/>
    <x v="96"/>
    <x v="2"/>
    <s v="EMP-0302"/>
    <s v="PROMO-00"/>
    <s v="Credit Card"/>
    <n v="535"/>
    <s v="2024-12-03"/>
    <x v="11"/>
    <x v="1"/>
    <x v="0"/>
    <s v="Known Employee"/>
    <n v="6"/>
  </r>
  <r>
    <s v="TRN-9265"/>
    <x v="69"/>
    <x v="3"/>
    <s v="EMP-0201"/>
    <s v="No Promotion"/>
    <s v="Unknown"/>
    <n v="202.5"/>
    <s v="2024-12-06"/>
    <x v="11"/>
    <x v="1"/>
    <x v="1"/>
    <s v="Known Employee"/>
    <n v="7"/>
  </r>
  <r>
    <s v="TRN-9444"/>
    <x v="126"/>
    <x v="3"/>
    <s v="EMP-0205"/>
    <s v="PROMO-02"/>
    <s v="Cash"/>
    <n v="405"/>
    <s v="2024-12-06"/>
    <x v="11"/>
    <x v="1"/>
    <x v="0"/>
    <s v="Known Employee"/>
    <n v="5"/>
  </r>
  <r>
    <s v="TRN-9078"/>
    <x v="202"/>
    <x v="3"/>
    <s v="EMP-0203"/>
    <s v="PROMO-00"/>
    <s v="Cash"/>
    <n v="465"/>
    <s v="2024-12-07"/>
    <x v="11"/>
    <x v="1"/>
    <x v="0"/>
    <s v="Known Employee"/>
    <n v="3"/>
  </r>
  <r>
    <s v="TRN-9150"/>
    <x v="9"/>
    <x v="2"/>
    <s v="EMP-0302"/>
    <s v="PROMO-02"/>
    <s v="Mobile Payment"/>
    <n v="228.6"/>
    <s v="2024-12-08"/>
    <x v="11"/>
    <x v="1"/>
    <x v="0"/>
    <s v="Known Employee"/>
    <n v="3"/>
  </r>
  <r>
    <s v="TRN-9180"/>
    <x v="112"/>
    <x v="4"/>
    <s v="EMP-0402"/>
    <s v="PROMO-00"/>
    <s v="Debit Card"/>
    <n v="330"/>
    <s v="2024-12-10"/>
    <x v="11"/>
    <x v="1"/>
    <x v="0"/>
    <s v="Known Employee"/>
    <n v="6"/>
  </r>
  <r>
    <s v="TRN-9690"/>
    <x v="111"/>
    <x v="2"/>
    <s v="EMP-0305"/>
    <s v="No Promotion"/>
    <s v="Debit Card"/>
    <n v="120"/>
    <s v="2024-12-13"/>
    <x v="11"/>
    <x v="1"/>
    <x v="1"/>
    <s v="Known Employee"/>
    <n v="5"/>
  </r>
  <r>
    <s v="TRN-9605"/>
    <x v="148"/>
    <x v="2"/>
    <s v="EMP-0303"/>
    <s v="PROMO-01"/>
    <s v="Cash"/>
    <n v="323"/>
    <s v="2024-12-17"/>
    <x v="11"/>
    <x v="1"/>
    <x v="0"/>
    <s v="Known Employee"/>
    <n v="4"/>
  </r>
  <r>
    <s v="TRN-9309"/>
    <x v="211"/>
    <x v="2"/>
    <s v="EMP-0305"/>
    <s v="PROMO-00"/>
    <s v="Debit Card"/>
    <n v="424"/>
    <s v="2024-12-18"/>
    <x v="11"/>
    <x v="1"/>
    <x v="0"/>
    <s v="Known Employee"/>
    <n v="2"/>
  </r>
  <r>
    <s v="TRN-9392"/>
    <x v="77"/>
    <x v="3"/>
    <s v="EMP-0204"/>
    <s v="PROMO-00"/>
    <s v="Unknown"/>
    <n v="356"/>
    <s v="2024-12-25"/>
    <x v="11"/>
    <x v="1"/>
    <x v="0"/>
    <s v="Known Employee"/>
    <n v="3"/>
  </r>
  <r>
    <s v="TRN-9596"/>
    <x v="75"/>
    <x v="3"/>
    <s v="EMP-0201"/>
    <s v="No Promotion"/>
    <s v="Cash"/>
    <n v="165.3"/>
    <s v="2024-12-25"/>
    <x v="11"/>
    <x v="1"/>
    <x v="1"/>
    <s v="Known Employee"/>
    <n v="3"/>
  </r>
  <r>
    <s v="TRN-9701"/>
    <x v="110"/>
    <x v="1"/>
    <s v=" EMP-0101 "/>
    <s v="PROMO-00"/>
    <s v="Mobile Payment"/>
    <n v="545"/>
    <s v="2024-12-25"/>
    <x v="11"/>
    <x v="1"/>
    <x v="0"/>
    <s v="Known Employee"/>
    <n v="3"/>
  </r>
  <r>
    <s v="TRN-9157"/>
    <x v="169"/>
    <x v="1"/>
    <s v="EMP-0101"/>
    <s v="PROMO-00"/>
    <s v="Credit Card"/>
    <n v="180"/>
    <s v="2024-12-29"/>
    <x v="11"/>
    <x v="1"/>
    <x v="0"/>
    <s v="Known Employee"/>
    <n v="5"/>
  </r>
  <r>
    <s v="TRN-9134"/>
    <x v="212"/>
    <x v="4"/>
    <s v=" EMP-0405 "/>
    <s v="PROMO-01"/>
    <s v="Debit Card"/>
    <n v="199.75"/>
    <s v="2025-01-01"/>
    <x v="0"/>
    <x v="0"/>
    <x v="0"/>
    <s v="Known Employee"/>
    <n v="1"/>
  </r>
  <r>
    <s v="TRN-9718"/>
    <x v="71"/>
    <x v="2"/>
    <s v="EMP-0304"/>
    <s v="PROMO-00"/>
    <s v="Credit Card"/>
    <n v="150"/>
    <s v="2025-01-03"/>
    <x v="0"/>
    <x v="0"/>
    <x v="0"/>
    <s v="Known Employee"/>
    <n v="5"/>
  </r>
  <r>
    <s v="TRN-9058"/>
    <x v="209"/>
    <x v="2"/>
    <s v="EMP-0304"/>
    <s v="PROMO-00"/>
    <s v="Cash"/>
    <n v="465"/>
    <s v="2025-01-04"/>
    <x v="0"/>
    <x v="0"/>
    <x v="0"/>
    <s v="Known Employee"/>
    <n v="2"/>
  </r>
  <r>
    <s v="TRN-9863"/>
    <x v="27"/>
    <x v="2"/>
    <s v="EMP-0302"/>
    <s v="PROMO-01"/>
    <s v="Mobile Payment"/>
    <n v="208.25"/>
    <s v="2025-01-04"/>
    <x v="0"/>
    <x v="0"/>
    <x v="0"/>
    <s v="Known Employee"/>
    <n v="6"/>
  </r>
  <r>
    <s v="TRN-9137"/>
    <x v="173"/>
    <x v="3"/>
    <s v="EMP-0203"/>
    <s v="PROMO-00"/>
    <s v="Credit Card"/>
    <n v="60"/>
    <s v="2025-01-04"/>
    <x v="0"/>
    <x v="0"/>
    <x v="0"/>
    <s v="Known Employee"/>
    <n v="5"/>
  </r>
  <r>
    <s v="TRN-9331"/>
    <x v="185"/>
    <x v="4"/>
    <s v="EMP-0402"/>
    <s v="PROMO-01"/>
    <s v="Credit Card"/>
    <n v="115.6"/>
    <s v="2025-01-05"/>
    <x v="0"/>
    <x v="0"/>
    <x v="0"/>
    <s v="Known Employee"/>
    <n v="5"/>
  </r>
  <r>
    <s v="TRN-9412"/>
    <x v="213"/>
    <x v="7"/>
    <s v="EMP-0303"/>
    <s v="PROMO-00"/>
    <s v="Mobile Payment"/>
    <n v="113"/>
    <s v="2025-01-09"/>
    <x v="0"/>
    <x v="0"/>
    <x v="0"/>
    <s v="Known Employee"/>
    <n v="1"/>
  </r>
  <r>
    <s v="TRN-9435"/>
    <x v="180"/>
    <x v="3"/>
    <s v="EMP-0202"/>
    <s v="PROMO-00"/>
    <s v="Debit Card"/>
    <n v="661"/>
    <s v="2025-01-10"/>
    <x v="0"/>
    <x v="0"/>
    <x v="0"/>
    <s v="Known Employee"/>
    <n v="6"/>
  </r>
  <r>
    <s v=" TRN-9032 "/>
    <x v="98"/>
    <x v="4"/>
    <s v="EMP-0401"/>
    <s v="No Promotion"/>
    <s v="Credit Card"/>
    <n v="355"/>
    <s v="2025-01-13"/>
    <x v="0"/>
    <x v="0"/>
    <x v="1"/>
    <s v="Known Employee"/>
    <n v="4"/>
  </r>
  <r>
    <s v="TRN-9529"/>
    <x v="106"/>
    <x v="3"/>
    <s v="EMP-0202"/>
    <s v="PROMO-00"/>
    <s v="Unknown"/>
    <n v="115"/>
    <s v="2025-01-16"/>
    <x v="0"/>
    <x v="0"/>
    <x v="0"/>
    <s v="Known Employee"/>
    <n v="5"/>
  </r>
  <r>
    <s v=" TRN-9752 "/>
    <x v="207"/>
    <x v="1"/>
    <s v="EMP-0105"/>
    <s v="PROMO-00"/>
    <s v="Debit Card"/>
    <n v="381"/>
    <s v="2025-01-16"/>
    <x v="0"/>
    <x v="0"/>
    <x v="0"/>
    <s v="Known Employee"/>
    <n v="2"/>
  </r>
  <r>
    <s v="TRN-9849"/>
    <x v="49"/>
    <x v="1"/>
    <s v="EMP-0103"/>
    <s v="PROMO-01"/>
    <s v="Debit Card"/>
    <n v="97.75"/>
    <s v="2025-01-19"/>
    <x v="0"/>
    <x v="0"/>
    <x v="0"/>
    <s v="Known Employee"/>
    <n v="4"/>
  </r>
  <r>
    <s v="TRN-9500"/>
    <x v="148"/>
    <x v="4"/>
    <s v="EMP-0401"/>
    <s v="PROMO-01"/>
    <s v="Mobile Payment"/>
    <n v="98.6"/>
    <s v="2025-01-22"/>
    <x v="0"/>
    <x v="0"/>
    <x v="0"/>
    <s v="Known Employee"/>
    <n v="4"/>
  </r>
  <r>
    <s v="TRN-9214"/>
    <x v="6"/>
    <x v="1"/>
    <s v="EMP-0105"/>
    <s v="PROMO-00"/>
    <s v="Debit Card"/>
    <n v="408"/>
    <s v="2025-01-23"/>
    <x v="0"/>
    <x v="0"/>
    <x v="0"/>
    <s v="Known Employee"/>
    <n v="5"/>
  </r>
  <r>
    <s v="TRN-9575"/>
    <x v="29"/>
    <x v="3"/>
    <s v=" EMP-0202 "/>
    <s v="PROMO-00"/>
    <s v="Debit Card"/>
    <n v="585"/>
    <s v="2025-01-23"/>
    <x v="0"/>
    <x v="0"/>
    <x v="0"/>
    <s v="Known Employee"/>
    <n v="4"/>
  </r>
  <r>
    <s v="TRN-9806"/>
    <x v="199"/>
    <x v="2"/>
    <s v="EMP-0303"/>
    <s v="PROMO-00"/>
    <s v="Debit Card"/>
    <n v="324"/>
    <s v="2025-01-25"/>
    <x v="0"/>
    <x v="0"/>
    <x v="0"/>
    <s v="Known Employee"/>
    <n v="4"/>
  </r>
  <r>
    <s v="TRN-9648"/>
    <x v="211"/>
    <x v="1"/>
    <s v="EMP-0102"/>
    <s v="PROMO-00"/>
    <s v="Credit Card"/>
    <n v="596"/>
    <s v="2025-01-30"/>
    <x v="0"/>
    <x v="0"/>
    <x v="0"/>
    <s v="Known Employee"/>
    <n v="2"/>
  </r>
  <r>
    <s v="TRN-9584"/>
    <x v="86"/>
    <x v="3"/>
    <s v="EMP-0204"/>
    <s v="PROMO-02"/>
    <s v="Mobile Payment"/>
    <n v="228.6"/>
    <s v="2025-01-31"/>
    <x v="0"/>
    <x v="0"/>
    <x v="0"/>
    <s v="Known Employee"/>
    <n v="5"/>
  </r>
  <r>
    <s v="TRN-9950"/>
    <x v="2"/>
    <x v="1"/>
    <s v="EMP-0102"/>
    <s v="PROMO-00"/>
    <s v="Debit Card"/>
    <n v="205"/>
    <s v="2025-02-02"/>
    <x v="1"/>
    <x v="1"/>
    <x v="0"/>
    <s v="Known Employee"/>
    <n v="5"/>
  </r>
  <r>
    <s v="TRN-9052"/>
    <x v="117"/>
    <x v="3"/>
    <s v="EMP-0205"/>
    <s v="PROMO-00"/>
    <s v="Credit Card"/>
    <n v="210"/>
    <s v="2025-02-03"/>
    <x v="1"/>
    <x v="1"/>
    <x v="0"/>
    <s v="Known Employee"/>
    <n v="6"/>
  </r>
  <r>
    <s v="TRN-9844"/>
    <x v="114"/>
    <x v="4"/>
    <s v="EMP-0405"/>
    <s v="PROMO-00"/>
    <s v="Debit Card"/>
    <n v="116"/>
    <s v="2025-02-05"/>
    <x v="1"/>
    <x v="1"/>
    <x v="0"/>
    <s v="Known Employee"/>
    <n v="4"/>
  </r>
  <r>
    <s v="TRN-9660"/>
    <x v="154"/>
    <x v="3"/>
    <s v=" EMP-0201 "/>
    <s v=" PROMO-00 "/>
    <s v="Debit Card"/>
    <n v="569"/>
    <s v="2025-02-08"/>
    <x v="1"/>
    <x v="1"/>
    <x v="0"/>
    <s v="Known Employee"/>
    <n v="7"/>
  </r>
  <r>
    <s v="TRN-9637"/>
    <x v="199"/>
    <x v="3"/>
    <s v="EMP-0202"/>
    <s v="PROMO-00"/>
    <s v="Debit Card"/>
    <n v="236"/>
    <s v="2025-02-10"/>
    <x v="1"/>
    <x v="1"/>
    <x v="0"/>
    <s v="Known Employee"/>
    <n v="4"/>
  </r>
  <r>
    <s v="TRN-9446"/>
    <x v="47"/>
    <x v="3"/>
    <s v="EMP-0204"/>
    <s v="No Promotion"/>
    <s v="Unknown"/>
    <n v="455"/>
    <s v="2025-02-13"/>
    <x v="1"/>
    <x v="1"/>
    <x v="1"/>
    <s v="Known Employee"/>
    <n v="5"/>
  </r>
  <r>
    <s v="TRN-9410"/>
    <x v="179"/>
    <x v="2"/>
    <s v="EMP-0302"/>
    <s v="PROMO-00"/>
    <s v="Cash"/>
    <n v="186"/>
    <s v="2025-02-14"/>
    <x v="1"/>
    <x v="1"/>
    <x v="0"/>
    <s v="Known Employee"/>
    <n v="5"/>
  </r>
  <r>
    <s v="TRN-9956"/>
    <x v="70"/>
    <x v="2"/>
    <s v="EMP-0302"/>
    <s v="PROMO-00"/>
    <s v="Unknown"/>
    <n v="285"/>
    <s v="2025-02-16"/>
    <x v="1"/>
    <x v="1"/>
    <x v="0"/>
    <s v="Known Employee"/>
    <n v="4"/>
  </r>
  <r>
    <s v="TRN-9504"/>
    <x v="100"/>
    <x v="2"/>
    <s v="EMP-0303"/>
    <s v="PROMO-00"/>
    <s v="Credit Card"/>
    <n v="390"/>
    <s v="2025-02-23"/>
    <x v="1"/>
    <x v="1"/>
    <x v="0"/>
    <s v="Known Employee"/>
    <n v="4"/>
  </r>
  <r>
    <s v="TRN-9980"/>
    <x v="27"/>
    <x v="4"/>
    <s v="EMP-0405"/>
    <s v="PROMO-00"/>
    <s v="Debit Card"/>
    <n v="300"/>
    <s v="2025-02-25"/>
    <x v="1"/>
    <x v="1"/>
    <x v="0"/>
    <s v="Known Employee"/>
    <n v="6"/>
  </r>
  <r>
    <s v="TRN-9763"/>
    <x v="66"/>
    <x v="1"/>
    <s v="EMP-0105"/>
    <s v="PROMO-00"/>
    <s v="Credit Card"/>
    <n v="70"/>
    <s v="2025-02-26"/>
    <x v="1"/>
    <x v="1"/>
    <x v="0"/>
    <s v="Known Employee"/>
    <n v="6"/>
  </r>
  <r>
    <s v="TRN-9010"/>
    <x v="24"/>
    <x v="4"/>
    <s v="EMP-0405"/>
    <s v="PROMO-00"/>
    <s v="Cash"/>
    <n v="235"/>
    <s v="2025-02-27"/>
    <x v="1"/>
    <x v="1"/>
    <x v="0"/>
    <s v="Known Employee"/>
    <n v="8"/>
  </r>
  <r>
    <s v="TRN-9022"/>
    <x v="18"/>
    <x v="4"/>
    <s v="EMP-0405"/>
    <s v="PROMO-02"/>
    <s v="Credit Card"/>
    <n v="49.5"/>
    <s v="2025-03-04"/>
    <x v="2"/>
    <x v="2"/>
    <x v="0"/>
    <s v="Known Employee"/>
    <n v="5"/>
  </r>
  <r>
    <s v="TRN-9913"/>
    <x v="3"/>
    <x v="2"/>
    <s v="EMP-0304"/>
    <s v="PROMO-01"/>
    <s v="Debit Card"/>
    <n v="353.6"/>
    <s v="2025-03-04"/>
    <x v="2"/>
    <x v="2"/>
    <x v="0"/>
    <s v="Known Employee"/>
    <n v="8"/>
  </r>
  <r>
    <s v="TRN-9257"/>
    <x v="21"/>
    <x v="3"/>
    <s v="EMP-0202"/>
    <s v="PROMO-00"/>
    <s v="Debit Card"/>
    <n v="699"/>
    <s v="2025-03-05"/>
    <x v="2"/>
    <x v="2"/>
    <x v="0"/>
    <s v="Known Employee"/>
    <n v="4"/>
  </r>
  <r>
    <s v="TRN-9665"/>
    <x v="41"/>
    <x v="4"/>
    <s v="EMP-0405"/>
    <s v="PROMO-00"/>
    <s v="Mobile Payment"/>
    <n v="240"/>
    <s v="2025-03-07"/>
    <x v="2"/>
    <x v="2"/>
    <x v="0"/>
    <s v="Known Employee"/>
    <n v="4"/>
  </r>
  <r>
    <s v="TRN-9707"/>
    <x v="177"/>
    <x v="2"/>
    <s v="EMP-0301"/>
    <s v="PROMO-00"/>
    <s v="Debit Card"/>
    <n v="480"/>
    <s v="2025-03-09"/>
    <x v="2"/>
    <x v="2"/>
    <x v="0"/>
    <s v="Known Employee"/>
    <n v="5"/>
  </r>
  <r>
    <s v="TRN-9705"/>
    <x v="194"/>
    <x v="4"/>
    <s v="EMP-0405"/>
    <s v="PROMO-03"/>
    <s v="Debit Card"/>
    <n v="512.04999999999995"/>
    <s v="2025-03-09"/>
    <x v="2"/>
    <x v="2"/>
    <x v="0"/>
    <s v="Known Employee"/>
    <n v="2"/>
  </r>
  <r>
    <s v=" TRN-9050 "/>
    <x v="71"/>
    <x v="1"/>
    <s v="EMP-0105"/>
    <s v="PROMO-02"/>
    <s v="Debit Card"/>
    <n v="72"/>
    <s v="2025-03-11"/>
    <x v="2"/>
    <x v="2"/>
    <x v="0"/>
    <s v="Known Employee"/>
    <n v="5"/>
  </r>
  <r>
    <s v="TRN-9663"/>
    <x v="47"/>
    <x v="1"/>
    <s v="EMP-0103"/>
    <s v="PROMO-00"/>
    <s v="Mobile Payment"/>
    <n v="628"/>
    <s v="2025-03-12"/>
    <x v="2"/>
    <x v="2"/>
    <x v="0"/>
    <s v="Known Employee"/>
    <n v="5"/>
  </r>
  <r>
    <s v="TRN-9115"/>
    <x v="195"/>
    <x v="4"/>
    <s v="EMP-0402"/>
    <s v="PROMO-02"/>
    <s v="Debit Card"/>
    <n v="49.5"/>
    <s v="2025-03-13"/>
    <x v="2"/>
    <x v="2"/>
    <x v="0"/>
    <s v="Known Employee"/>
    <n v="5"/>
  </r>
  <r>
    <s v="TRN-9252"/>
    <x v="64"/>
    <x v="3"/>
    <s v="EMP-0205"/>
    <s v="PROMO-02"/>
    <s v="Unknown"/>
    <n v="540.9"/>
    <s v="2025-03-17"/>
    <x v="2"/>
    <x v="2"/>
    <x v="0"/>
    <s v="Known Employee"/>
    <n v="3"/>
  </r>
  <r>
    <s v="TRN-9191"/>
    <x v="22"/>
    <x v="2"/>
    <s v="EMP-0301"/>
    <s v="PROMO-00"/>
    <s v="Cash"/>
    <n v="242"/>
    <s v="2025-03-18"/>
    <x v="2"/>
    <x v="2"/>
    <x v="0"/>
    <s v="Known Employee"/>
    <n v="3"/>
  </r>
  <r>
    <s v="TRN-9598"/>
    <x v="1"/>
    <x v="2"/>
    <s v="EMP-0301"/>
    <s v="PROMO-00"/>
    <s v="Cash"/>
    <n v="469"/>
    <s v="2025-03-20"/>
    <x v="2"/>
    <x v="2"/>
    <x v="0"/>
    <s v="Known Employee"/>
    <n v="4"/>
  </r>
  <r>
    <s v="TRN-9535"/>
    <x v="12"/>
    <x v="2"/>
    <s v="EMP-0301"/>
    <s v="PROMO-00"/>
    <s v="Mobile Payment"/>
    <n v="195"/>
    <s v="2025-03-20"/>
    <x v="2"/>
    <x v="2"/>
    <x v="0"/>
    <s v="Known Employee"/>
    <n v="8"/>
  </r>
  <r>
    <s v="TRN-9794"/>
    <x v="124"/>
    <x v="4"/>
    <s v="EMP-0402"/>
    <s v="PROMO-00"/>
    <s v="Debit Card"/>
    <n v="270"/>
    <s v="2025-03-24"/>
    <x v="2"/>
    <x v="2"/>
    <x v="0"/>
    <s v="Known Employee"/>
    <n v="4"/>
  </r>
  <r>
    <s v="TRN-9318"/>
    <x v="195"/>
    <x v="3"/>
    <s v="EMP-0202"/>
    <s v="PROMO-00"/>
    <s v=" Credit Card "/>
    <n v="500"/>
    <s v="2025-03-24"/>
    <x v="2"/>
    <x v="2"/>
    <x v="0"/>
    <s v="Known Employee"/>
    <n v="5"/>
  </r>
  <r>
    <s v="TRN-9666"/>
    <x v="8"/>
    <x v="1"/>
    <s v="EMP-0105"/>
    <s v="PROMO-02"/>
    <s v="Credit Card"/>
    <n v="495.9"/>
    <s v="2025-03-27"/>
    <x v="2"/>
    <x v="2"/>
    <x v="0"/>
    <s v="Known Employee"/>
    <n v="7"/>
  </r>
  <r>
    <s v="TRN-9206"/>
    <x v="214"/>
    <x v="4"/>
    <s v=" EMP-0402 "/>
    <s v="PROMO-00"/>
    <s v="Mobile Payment"/>
    <n v="370"/>
    <s v="2025-03-31"/>
    <x v="2"/>
    <x v="2"/>
    <x v="0"/>
    <s v="Known Employee"/>
    <n v="3"/>
  </r>
  <r>
    <s v="TRN-9242"/>
    <x v="154"/>
    <x v="1"/>
    <s v="EMP-0104"/>
    <s v="PROMO-00"/>
    <s v="Mobile Payment"/>
    <n v="220"/>
    <s v="2025-04-03"/>
    <x v="3"/>
    <x v="1"/>
    <x v="0"/>
    <s v="Known Employee"/>
    <n v="7"/>
  </r>
  <r>
    <s v="TRN-9197"/>
    <x v="32"/>
    <x v="4"/>
    <s v="EMP-0405"/>
    <s v="PROMO-02"/>
    <s v="Mobile Payment"/>
    <n v="122.4"/>
    <s v="2025-04-06"/>
    <x v="3"/>
    <x v="1"/>
    <x v="0"/>
    <s v="Known Employee"/>
    <n v="6"/>
  </r>
  <r>
    <s v="TRN-9735"/>
    <x v="12"/>
    <x v="4"/>
    <s v="EMP-0405"/>
    <s v=" PROMO-00 "/>
    <s v="Cash"/>
    <n v="310"/>
    <s v="2025-04-11"/>
    <x v="3"/>
    <x v="1"/>
    <x v="0"/>
    <s v="Known Employee"/>
    <n v="8"/>
  </r>
  <r>
    <s v="TRN-9361"/>
    <x v="29"/>
    <x v="3"/>
    <s v="EMP-0204"/>
    <s v="PROMO-00"/>
    <s v="Credit Card"/>
    <n v="455"/>
    <s v="2025-04-14"/>
    <x v="3"/>
    <x v="1"/>
    <x v="0"/>
    <s v="Known Employee"/>
    <n v="4"/>
  </r>
  <r>
    <s v="TRN-9640"/>
    <x v="35"/>
    <x v="3"/>
    <s v="EMP-0202"/>
    <s v="PROMO-02"/>
    <s v="Debit Card"/>
    <n v="72"/>
    <s v="2025-04-14"/>
    <x v="3"/>
    <x v="1"/>
    <x v="0"/>
    <s v="Known Employee"/>
    <n v="7"/>
  </r>
  <r>
    <s v="TRN-9999"/>
    <x v="6"/>
    <x v="4"/>
    <s v="EMP-0402"/>
    <s v="PROMO-00"/>
    <s v="Debit Card"/>
    <n v="670"/>
    <s v="2025-04-15"/>
    <x v="3"/>
    <x v="1"/>
    <x v="0"/>
    <s v="Known Employee"/>
    <n v="5"/>
  </r>
  <r>
    <s v="TRN-9717"/>
    <x v="14"/>
    <x v="4"/>
    <s v="EMP-0402"/>
    <s v="PROMO-03"/>
    <s v="Unknown"/>
    <n v="850.25"/>
    <s v="2025-04-15"/>
    <x v="3"/>
    <x v="1"/>
    <x v="0"/>
    <s v="Known Employee"/>
    <n v="6"/>
  </r>
  <r>
    <s v="TRN-9611"/>
    <x v="150"/>
    <x v="4"/>
    <s v="EMP-0405"/>
    <s v="PROMO-00"/>
    <s v=" Cash "/>
    <n v="174"/>
    <s v="2025-04-17"/>
    <x v="3"/>
    <x v="1"/>
    <x v="0"/>
    <s v="Known Employee"/>
    <n v="5"/>
  </r>
  <r>
    <s v="TRN-9263"/>
    <x v="180"/>
    <x v="2"/>
    <s v="EMP-0305"/>
    <s v="PROMO-00"/>
    <s v="Debit Card"/>
    <n v="65"/>
    <s v="2025-04-17"/>
    <x v="3"/>
    <x v="1"/>
    <x v="0"/>
    <s v="Known Employee"/>
    <n v="6"/>
  </r>
  <r>
    <s v="TRN-9815"/>
    <x v="104"/>
    <x v="2"/>
    <s v="EMP-0301"/>
    <s v="PROMO-00"/>
    <s v="Cash"/>
    <n v="300"/>
    <s v="2025-04-22"/>
    <x v="3"/>
    <x v="1"/>
    <x v="0"/>
    <s v="Known Employee"/>
    <n v="6"/>
  </r>
  <r>
    <s v="TRN-9308"/>
    <x v="125"/>
    <x v="1"/>
    <s v="EMP-0103"/>
    <s v="PROMO-00"/>
    <s v="Credit Card"/>
    <n v="70"/>
    <s v="2025-04-23"/>
    <x v="3"/>
    <x v="1"/>
    <x v="0"/>
    <s v="Known Employee"/>
    <n v="4"/>
  </r>
  <r>
    <s v="TRN-9593"/>
    <x v="61"/>
    <x v="4"/>
    <s v="EMP-0405"/>
    <s v="PROMO-00"/>
    <s v="Credit Card"/>
    <n v="185"/>
    <s v="2025-04-24"/>
    <x v="3"/>
    <x v="1"/>
    <x v="0"/>
    <s v="Known Employee"/>
    <n v="4"/>
  </r>
  <r>
    <s v="TRN-9380"/>
    <x v="97"/>
    <x v="4"/>
    <s v="EMP-0402"/>
    <s v="PROMO-01"/>
    <s v="Mobile Payment"/>
    <n v="42.5"/>
    <s v="2025-04-25"/>
    <x v="3"/>
    <x v="1"/>
    <x v="0"/>
    <s v="Known Employee"/>
    <n v="6"/>
  </r>
  <r>
    <s v="TRN-9497"/>
    <x v="214"/>
    <x v="2"/>
    <s v="EMP-0303"/>
    <s v="PROMO-00"/>
    <s v="Credit Card"/>
    <n v="584"/>
    <s v="2025-04-26"/>
    <x v="3"/>
    <x v="1"/>
    <x v="0"/>
    <s v="Known Employee"/>
    <n v="3"/>
  </r>
  <r>
    <s v="TRN-9951"/>
    <x v="144"/>
    <x v="4"/>
    <s v="EMP-0402"/>
    <s v="PROMO-02"/>
    <s v="Credit Card"/>
    <n v="387"/>
    <s v="2025-04-26"/>
    <x v="3"/>
    <x v="1"/>
    <x v="0"/>
    <s v="Known Employee"/>
    <n v="6"/>
  </r>
  <r>
    <s v="TRN-9805"/>
    <x v="152"/>
    <x v="4"/>
    <s v="EMP-0404"/>
    <s v="PROMO-00"/>
    <s v="Cash"/>
    <n v="504"/>
    <s v="2025-05-02"/>
    <x v="4"/>
    <x v="1"/>
    <x v="0"/>
    <s v="Known Employee"/>
    <n v="3"/>
  </r>
  <r>
    <s v="TRN-9906"/>
    <x v="57"/>
    <x v="2"/>
    <s v="EMP-0301"/>
    <s v="PROMO-00"/>
    <s v="Cash"/>
    <n v="204"/>
    <s v="2025-05-03"/>
    <x v="4"/>
    <x v="1"/>
    <x v="0"/>
    <s v="Known Employee"/>
    <n v="3"/>
  </r>
  <r>
    <s v="TRN-9521"/>
    <x v="136"/>
    <x v="4"/>
    <s v="EMP-0403"/>
    <s v="PROMO-00"/>
    <s v="Credit Card"/>
    <n v="215"/>
    <s v="2025-05-03"/>
    <x v="4"/>
    <x v="1"/>
    <x v="0"/>
    <s v="Known Employee"/>
    <n v="4"/>
  </r>
  <r>
    <s v="TRN-9862"/>
    <x v="24"/>
    <x v="4"/>
    <s v="EMP-0404"/>
    <s v="PROMO-00"/>
    <s v="Credit Card"/>
    <n v="58"/>
    <s v="2025-05-04"/>
    <x v="4"/>
    <x v="1"/>
    <x v="0"/>
    <s v="Known Employee"/>
    <n v="8"/>
  </r>
  <r>
    <s v="TRN-9334"/>
    <x v="109"/>
    <x v="2"/>
    <s v="EMP-0305"/>
    <s v="PROMO-00"/>
    <s v="Debit Card"/>
    <n v="510"/>
    <s v="2025-05-05"/>
    <x v="4"/>
    <x v="1"/>
    <x v="0"/>
    <s v="Known Employee"/>
    <n v="4"/>
  </r>
  <r>
    <s v="TRN-9325"/>
    <x v="96"/>
    <x v="2"/>
    <s v="EMP-0303"/>
    <s v=" PROMO-00 "/>
    <s v="Mobile Payment"/>
    <n v="260"/>
    <s v="2025-05-06"/>
    <x v="4"/>
    <x v="1"/>
    <x v="0"/>
    <s v="Known Employee"/>
    <n v="6"/>
  </r>
  <r>
    <s v="TRN-9472"/>
    <x v="6"/>
    <x v="4"/>
    <s v="EMP-0402"/>
    <s v="PROMO-00"/>
    <s v="Cash"/>
    <n v="375"/>
    <s v="2025-05-08"/>
    <x v="4"/>
    <x v="1"/>
    <x v="0"/>
    <s v="Known Employee"/>
    <n v="5"/>
  </r>
  <r>
    <s v="TRN-9528"/>
    <x v="215"/>
    <x v="1"/>
    <s v="EMP-0105"/>
    <s v="PROMO-02"/>
    <s v=" Mobile Payment "/>
    <n v="135"/>
    <s v="2025-05-09"/>
    <x v="4"/>
    <x v="1"/>
    <x v="0"/>
    <s v="Known Employee"/>
    <n v="1"/>
  </r>
  <r>
    <s v="TRN-9791"/>
    <x v="146"/>
    <x v="4"/>
    <s v="EMP-0401"/>
    <s v="PROMO-00"/>
    <s v="Cash"/>
    <n v="60"/>
    <s v="2025-05-10"/>
    <x v="4"/>
    <x v="1"/>
    <x v="0"/>
    <s v="Known Employee"/>
    <n v="3"/>
  </r>
  <r>
    <s v="TRN-9581"/>
    <x v="35"/>
    <x v="4"/>
    <s v="EMP-0403"/>
    <s v="PROMO-03"/>
    <s v="Cash"/>
    <n v="114"/>
    <s v="2025-05-10"/>
    <x v="4"/>
    <x v="1"/>
    <x v="0"/>
    <s v="Known Employee"/>
    <n v="7"/>
  </r>
  <r>
    <s v="TRN-9153"/>
    <x v="202"/>
    <x v="3"/>
    <s v="EMP-0204"/>
    <s v="PROMO-00"/>
    <s v="Mobile Payment"/>
    <n v="455"/>
    <s v="2025-05-11"/>
    <x v="4"/>
    <x v="1"/>
    <x v="0"/>
    <s v="Known Employee"/>
    <n v="3"/>
  </r>
  <r>
    <s v="TRN-9739"/>
    <x v="216"/>
    <x v="4"/>
    <s v=" EMP-0404 "/>
    <s v="PROMO-00"/>
    <s v="Mobile Payment"/>
    <n v="630"/>
    <s v="2025-05-12"/>
    <x v="4"/>
    <x v="1"/>
    <x v="0"/>
    <s v="Known Employee"/>
    <n v="1"/>
  </r>
  <r>
    <s v="TRN-9514"/>
    <x v="119"/>
    <x v="4"/>
    <s v="EMP-0404"/>
    <s v="PROMO-00"/>
    <s v="Credit Card"/>
    <n v="135"/>
    <s v="2025-05-15"/>
    <x v="4"/>
    <x v="1"/>
    <x v="0"/>
    <s v="Known Employee"/>
    <n v="5"/>
  </r>
  <r>
    <s v="TRN-9405"/>
    <x v="74"/>
    <x v="3"/>
    <s v="EMP-0204"/>
    <s v="PROMO-00"/>
    <s v="Mobile Payment"/>
    <n v="130"/>
    <s v="2025-05-16"/>
    <x v="4"/>
    <x v="1"/>
    <x v="0"/>
    <s v="Known Employee"/>
    <n v="8"/>
  </r>
  <r>
    <s v="TRN-9122"/>
    <x v="93"/>
    <x v="2"/>
    <s v="EMP-0302"/>
    <s v="PROMO-00"/>
    <s v="Debit Card"/>
    <n v="325"/>
    <s v="2025-05-16"/>
    <x v="4"/>
    <x v="1"/>
    <x v="0"/>
    <s v="Known Employee"/>
    <n v="5"/>
  </r>
  <r>
    <s v="TRN-9064"/>
    <x v="15"/>
    <x v="2"/>
    <s v="EMP-0304"/>
    <s v="PROMO-03"/>
    <s v="Mobile Payment"/>
    <n v="209"/>
    <s v="2025-05-17"/>
    <x v="4"/>
    <x v="1"/>
    <x v="0"/>
    <s v="Known Employee"/>
    <n v="7"/>
  </r>
  <r>
    <s v="TRN-9480"/>
    <x v="144"/>
    <x v="2"/>
    <s v="EMP-0301"/>
    <s v="PROMO-00"/>
    <s v=" Mobile Payment "/>
    <n v="210"/>
    <s v="2025-05-21"/>
    <x v="4"/>
    <x v="1"/>
    <x v="0"/>
    <s v="Known Employee"/>
    <n v="6"/>
  </r>
  <r>
    <s v="TRN-9807"/>
    <x v="28"/>
    <x v="1"/>
    <s v="EMP-0105"/>
    <s v="PROMO-00"/>
    <s v="Cash"/>
    <n v="100"/>
    <s v="2025-05-22"/>
    <x v="4"/>
    <x v="1"/>
    <x v="0"/>
    <s v="Known Employee"/>
    <n v="8"/>
  </r>
  <r>
    <s v="TRN-9059"/>
    <x v="167"/>
    <x v="2"/>
    <s v="EMP-0302"/>
    <s v="PROMO-03"/>
    <s v="Mobile Payment"/>
    <n v="457.9"/>
    <s v="2025-05-24"/>
    <x v="4"/>
    <x v="1"/>
    <x v="0"/>
    <s v="Known Employee"/>
    <n v="4"/>
  </r>
  <r>
    <s v="TRN-9133"/>
    <x v="115"/>
    <x v="3"/>
    <s v="EMP-0204"/>
    <s v="PROMO-03"/>
    <s v="Credit Card"/>
    <n v="484.5"/>
    <s v="2025-05-26"/>
    <x v="4"/>
    <x v="1"/>
    <x v="0"/>
    <s v="Known Employee"/>
    <n v="2"/>
  </r>
  <r>
    <s v="TRN-9845"/>
    <x v="117"/>
    <x v="4"/>
    <s v="EMP-0401"/>
    <s v="PROMO-00"/>
    <s v="Debit Card"/>
    <n v="304"/>
    <s v="2025-05-27"/>
    <x v="4"/>
    <x v="1"/>
    <x v="0"/>
    <s v="Known Employee"/>
    <n v="6"/>
  </r>
  <r>
    <s v="TRN-9809"/>
    <x v="76"/>
    <x v="0"/>
    <s v="EMP-0203"/>
    <s v="PROMO-00"/>
    <s v="Credit Card"/>
    <n v="242"/>
    <s v="2025-05-29"/>
    <x v="4"/>
    <x v="1"/>
    <x v="0"/>
    <s v="Known Employee"/>
    <n v="3"/>
  </r>
  <r>
    <s v="TRN-9147"/>
    <x v="168"/>
    <x v="3"/>
    <s v="EMP-0201"/>
    <s v="PROMO-01"/>
    <s v="Mobile Payment"/>
    <n v="476.85"/>
    <s v="2025-06-04"/>
    <x v="5"/>
    <x v="1"/>
    <x v="0"/>
    <s v="Known Employee"/>
    <n v="2"/>
  </r>
  <r>
    <s v="TRN-9079"/>
    <x v="79"/>
    <x v="2"/>
    <s v="EMP-0302"/>
    <s v=" PROMO-00 "/>
    <s v="Credit Card"/>
    <n v="455"/>
    <s v="2025-06-04"/>
    <x v="5"/>
    <x v="1"/>
    <x v="0"/>
    <s v="Known Employee"/>
    <n v="3"/>
  </r>
  <r>
    <s v="TRN-9742"/>
    <x v="25"/>
    <x v="4"/>
    <s v="EMP-0404"/>
    <s v="PROMO-01"/>
    <s v="Debit Card"/>
    <n v="161.5"/>
    <s v="2025-06-07"/>
    <x v="5"/>
    <x v="1"/>
    <x v="0"/>
    <s v="Known Employee"/>
    <n v="4"/>
  </r>
  <r>
    <s v="TRN-9899"/>
    <x v="93"/>
    <x v="4"/>
    <s v="EMP-0401"/>
    <s v="PROMO-01"/>
    <s v="Cash"/>
    <n v="323"/>
    <s v="2025-06-10"/>
    <x v="5"/>
    <x v="1"/>
    <x v="0"/>
    <s v="Known Employee"/>
    <n v="5"/>
  </r>
  <r>
    <s v="TRN-9144"/>
    <x v="15"/>
    <x v="4"/>
    <s v="EMP-0404"/>
    <s v="PROMO-00"/>
    <s v="Credit Card"/>
    <n v="225"/>
    <s v="2025-06-13"/>
    <x v="5"/>
    <x v="1"/>
    <x v="0"/>
    <s v="Known Employee"/>
    <n v="7"/>
  </r>
  <r>
    <s v="TRN-9065"/>
    <x v="156"/>
    <x v="4"/>
    <s v="EMP-0401"/>
    <s v="PROMO-00"/>
    <s v="Debit Card"/>
    <n v="266"/>
    <s v="2025-06-15"/>
    <x v="5"/>
    <x v="1"/>
    <x v="0"/>
    <s v="Known Employee"/>
    <n v="3"/>
  </r>
  <r>
    <s v=" TRN-9450 "/>
    <x v="19"/>
    <x v="2"/>
    <s v="EMP-0304"/>
    <s v="PROMO-00"/>
    <s v="Debit Card"/>
    <n v="449"/>
    <s v="2025-06-16"/>
    <x v="5"/>
    <x v="1"/>
    <x v="0"/>
    <s v="Known Employee"/>
    <n v="6"/>
  </r>
  <r>
    <s v="TRN-9245"/>
    <x v="122"/>
    <x v="4"/>
    <s v="EMP-0401"/>
    <s v="PROMO-00"/>
    <s v="Debit Card"/>
    <n v="366"/>
    <s v="2025-06-16"/>
    <x v="5"/>
    <x v="1"/>
    <x v="0"/>
    <s v="Known Employee"/>
    <n v="5"/>
  </r>
  <r>
    <s v="TRN-9396"/>
    <x v="181"/>
    <x v="2"/>
    <s v="EMP-0305"/>
    <s v="PROMO-01"/>
    <s v="Cash"/>
    <n v="204"/>
    <s v="2025-06-18"/>
    <x v="5"/>
    <x v="1"/>
    <x v="0"/>
    <s v="Known Employee"/>
    <n v="6"/>
  </r>
  <r>
    <s v="TRN-9322"/>
    <x v="217"/>
    <x v="3"/>
    <s v="EMP-0204"/>
    <s v="PROMO-00"/>
    <s v="Mobile Payment"/>
    <n v="188"/>
    <s v="2025-06-22"/>
    <x v="5"/>
    <x v="1"/>
    <x v="0"/>
    <s v="Known Employee"/>
    <n v="3"/>
  </r>
  <r>
    <s v="TRN-9273"/>
    <x v="9"/>
    <x v="2"/>
    <s v="EMP-0304"/>
    <s v="PROMO-00"/>
    <s v="Cash"/>
    <n v="165"/>
    <s v="2025-06-23"/>
    <x v="5"/>
    <x v="1"/>
    <x v="0"/>
    <s v="Known Employee"/>
    <n v="3"/>
  </r>
  <r>
    <s v="TRN-9782"/>
    <x v="181"/>
    <x v="8"/>
    <s v="EMP-0403"/>
    <s v="PROMO-01"/>
    <s v="Credit Card"/>
    <n v="353.6"/>
    <s v="2025-06-27"/>
    <x v="5"/>
    <x v="1"/>
    <x v="0"/>
    <s v="Known Employee"/>
    <n v="6"/>
  </r>
  <r>
    <s v="TRN-9485"/>
    <x v="217"/>
    <x v="1"/>
    <s v="EMP-0101"/>
    <s v="PROMO-00"/>
    <s v="Cash"/>
    <n v="328"/>
    <s v="2025-07-01"/>
    <x v="6"/>
    <x v="1"/>
    <x v="0"/>
    <s v="Known Employee"/>
    <n v="3"/>
  </r>
  <r>
    <s v="TRN-9961"/>
    <x v="66"/>
    <x v="3"/>
    <s v="EMP-0204"/>
    <s v="PROMO-02"/>
    <s v="Mobile Payment"/>
    <n v="651.6"/>
    <s v="2025-07-02"/>
    <x v="6"/>
    <x v="1"/>
    <x v="0"/>
    <s v="Known Employee"/>
    <n v="6"/>
  </r>
  <r>
    <s v="TRN-9008"/>
    <x v="33"/>
    <x v="2"/>
    <s v="EMP-0303"/>
    <s v="PROMO-00"/>
    <s v="Mobile Payment"/>
    <n v="420"/>
    <s v="2025-07-05"/>
    <x v="6"/>
    <x v="1"/>
    <x v="0"/>
    <s v="Known Employee"/>
    <n v="4"/>
  </r>
  <r>
    <s v="TRN-9284"/>
    <x v="179"/>
    <x v="4"/>
    <s v="EMP-0403"/>
    <s v="PROMO-00"/>
    <s v="Mobile Payment"/>
    <n v="615"/>
    <s v="2025-07-08"/>
    <x v="6"/>
    <x v="1"/>
    <x v="0"/>
    <s v="Known Employee"/>
    <n v="5"/>
  </r>
  <r>
    <s v="TRN-9570"/>
    <x v="41"/>
    <x v="1"/>
    <s v="EMP-0104"/>
    <s v="PROMO-00"/>
    <s v="Debit Card"/>
    <n v="455"/>
    <s v="2025-07-12"/>
    <x v="6"/>
    <x v="1"/>
    <x v="0"/>
    <s v="Known Employee"/>
    <n v="4"/>
  </r>
  <r>
    <s v="TRN-9479"/>
    <x v="189"/>
    <x v="4"/>
    <s v="EMP-0402"/>
    <s v="PROMO-00"/>
    <s v="Debit Card"/>
    <n v="535"/>
    <s v="2025-07-14"/>
    <x v="6"/>
    <x v="1"/>
    <x v="0"/>
    <s v="Known Employee"/>
    <n v="3"/>
  </r>
  <r>
    <s v="TRN-9779"/>
    <x v="107"/>
    <x v="3"/>
    <s v="EMP-0205"/>
    <s v="PROMO-00"/>
    <s v="Credit Card"/>
    <n v="507"/>
    <s v="2025-07-14"/>
    <x v="6"/>
    <x v="1"/>
    <x v="0"/>
    <s v="Known Employee"/>
    <n v="4"/>
  </r>
  <r>
    <s v="TRN-9855"/>
    <x v="54"/>
    <x v="3"/>
    <s v="EMP-0203"/>
    <s v="PROMO-00"/>
    <s v="Cash"/>
    <n v="295"/>
    <s v="2025-07-17"/>
    <x v="6"/>
    <x v="1"/>
    <x v="0"/>
    <s v="Known Employee"/>
    <n v="3"/>
  </r>
  <r>
    <s v="TRN-9543"/>
    <x v="42"/>
    <x v="1"/>
    <s v="EMP-0103"/>
    <s v="PROMO-00"/>
    <s v=" Cash "/>
    <n v="220"/>
    <s v="2025-07-18"/>
    <x v="6"/>
    <x v="1"/>
    <x v="0"/>
    <s v="Known Employee"/>
    <n v="5"/>
  </r>
  <r>
    <s v="TRN-9801"/>
    <x v="177"/>
    <x v="3"/>
    <s v="EMP-0201"/>
    <s v="PROMO-00"/>
    <s v="Credit Card"/>
    <n v="444"/>
    <s v="2025-07-20"/>
    <x v="6"/>
    <x v="1"/>
    <x v="0"/>
    <s v="Known Employee"/>
    <n v="5"/>
  </r>
  <r>
    <s v="TRN-9440"/>
    <x v="186"/>
    <x v="1"/>
    <s v="EMP-0101"/>
    <s v="PROMO-02"/>
    <s v="Mobile Payment"/>
    <n v="202.5"/>
    <s v="2025-07-23"/>
    <x v="6"/>
    <x v="1"/>
    <x v="0"/>
    <s v="Known Employee"/>
    <n v="2"/>
  </r>
  <r>
    <s v="TRN-9635"/>
    <x v="120"/>
    <x v="2"/>
    <s v="EMP-0305"/>
    <s v=" PROMO-02 "/>
    <s v="Cash"/>
    <n v="634.5"/>
    <s v="2025-07-25"/>
    <x v="6"/>
    <x v="1"/>
    <x v="0"/>
    <s v="Known Employee"/>
    <n v="3"/>
  </r>
  <r>
    <s v=" TRN-9555 "/>
    <x v="92"/>
    <x v="4"/>
    <s v="Unknown"/>
    <s v="PROMO-00"/>
    <s v=" Cash "/>
    <n v="278"/>
    <s v="2025-07-27"/>
    <x v="6"/>
    <x v="1"/>
    <x v="0"/>
    <s v="UnKnown Employee"/>
    <n v="4"/>
  </r>
  <r>
    <s v="TRN-9342"/>
    <x v="153"/>
    <x v="3"/>
    <s v="EMP-0202"/>
    <s v=" PROMO-00 "/>
    <s v="Debit Card"/>
    <n v="340"/>
    <s v="2025-07-28"/>
    <x v="6"/>
    <x v="1"/>
    <x v="0"/>
    <s v="Known Employee"/>
    <n v="2"/>
  </r>
  <r>
    <s v="TRN-9525"/>
    <x v="182"/>
    <x v="3"/>
    <s v="EMP-0201"/>
    <s v="PROMO-00"/>
    <s v="Debit Card"/>
    <n v="153"/>
    <s v="2025-07-30"/>
    <x v="6"/>
    <x v="1"/>
    <x v="0"/>
    <s v="Known Employee"/>
    <n v="2"/>
  </r>
  <r>
    <s v="TRN-9154"/>
    <x v="0"/>
    <x v="1"/>
    <s v="EMP-0105"/>
    <s v="PROMO-00"/>
    <s v="Cash"/>
    <n v="415"/>
    <s v="2025-08-02"/>
    <x v="7"/>
    <x v="3"/>
    <x v="0"/>
    <s v="Known Employee"/>
    <n v="6"/>
  </r>
  <r>
    <s v="TRN-9738"/>
    <x v="61"/>
    <x v="2"/>
    <s v="EMP-0302"/>
    <s v="PROMO-00"/>
    <s v="Mobile Payment"/>
    <n v="351"/>
    <s v="2025-08-03"/>
    <x v="7"/>
    <x v="3"/>
    <x v="0"/>
    <s v="Known Employee"/>
    <n v="4"/>
  </r>
  <r>
    <s v=" TRN-9159 "/>
    <x v="97"/>
    <x v="8"/>
    <s v="EMP-0405"/>
    <s v="PROMO-00"/>
    <s v=" Credit Card "/>
    <n v="495"/>
    <s v="2025-08-05"/>
    <x v="7"/>
    <x v="3"/>
    <x v="0"/>
    <s v="Known Employee"/>
    <n v="6"/>
  </r>
  <r>
    <s v=" TRN-9031 "/>
    <x v="144"/>
    <x v="2"/>
    <s v="EMP-0302"/>
    <s v="PROMO-00"/>
    <s v="Credit Card"/>
    <n v="651"/>
    <s v="2025-08-07"/>
    <x v="7"/>
    <x v="3"/>
    <x v="0"/>
    <s v="Known Employee"/>
    <n v="6"/>
  </r>
  <r>
    <s v="TRN-9973"/>
    <x v="174"/>
    <x v="1"/>
    <s v="EMP-0103"/>
    <s v="PROMO-00"/>
    <s v="Cash"/>
    <n v="120"/>
    <s v="2025-08-08"/>
    <x v="7"/>
    <x v="3"/>
    <x v="0"/>
    <s v="Known Employee"/>
    <n v="4"/>
  </r>
  <r>
    <s v="TRN-9513"/>
    <x v="2"/>
    <x v="1"/>
    <s v="EMP-0103"/>
    <s v="PROMO-00"/>
    <s v="Mobile Payment"/>
    <n v="166"/>
    <s v="2025-08-08"/>
    <x v="7"/>
    <x v="3"/>
    <x v="0"/>
    <s v="Known Employee"/>
    <n v="5"/>
  </r>
  <r>
    <s v="TRN-9082"/>
    <x v="45"/>
    <x v="4"/>
    <s v="EMP-0405"/>
    <s v="PROMO-03"/>
    <s v="Credit Card"/>
    <n v="532"/>
    <s v="2025-08-10"/>
    <x v="7"/>
    <x v="3"/>
    <x v="0"/>
    <s v="Known Employee"/>
    <n v="4"/>
  </r>
  <r>
    <s v="TRN-9829"/>
    <x v="218"/>
    <x v="3"/>
    <s v="EMP-0204"/>
    <s v="PROMO-00"/>
    <s v="Debit Card"/>
    <n v="764"/>
    <s v="2025-08-12"/>
    <x v="7"/>
    <x v="3"/>
    <x v="0"/>
    <s v="Known Employee"/>
    <n v="1"/>
  </r>
  <r>
    <s v="TRN-9166"/>
    <x v="36"/>
    <x v="4"/>
    <s v="EMP-0402"/>
    <s v="PROMO-01"/>
    <s v="Mobile Payment"/>
    <n v="46.75"/>
    <s v="2025-08-12"/>
    <x v="7"/>
    <x v="3"/>
    <x v="0"/>
    <s v="Known Employee"/>
    <n v="9"/>
  </r>
  <r>
    <s v=" TRN-9055 "/>
    <x v="139"/>
    <x v="2"/>
    <s v="EMP-0301"/>
    <s v="PROMO-00"/>
    <s v="Debit Card"/>
    <n v="70"/>
    <s v="2025-08-12"/>
    <x v="7"/>
    <x v="3"/>
    <x v="0"/>
    <s v="Known Employee"/>
    <n v="3"/>
  </r>
  <r>
    <s v="TRN-9892"/>
    <x v="180"/>
    <x v="2"/>
    <s v="EMP-0301"/>
    <s v="PROMO-02"/>
    <s v="Cash"/>
    <n v="63"/>
    <s v="2025-08-13"/>
    <x v="7"/>
    <x v="3"/>
    <x v="0"/>
    <s v="Known Employee"/>
    <n v="6"/>
  </r>
  <r>
    <s v="TRN-9366"/>
    <x v="58"/>
    <x v="4"/>
    <s v="EMP-0401"/>
    <s v=" PROMO-00 "/>
    <s v="Cash"/>
    <n v="415"/>
    <s v="2025-08-16"/>
    <x v="7"/>
    <x v="3"/>
    <x v="0"/>
    <s v="Known Employee"/>
    <n v="7"/>
  </r>
  <r>
    <s v="TRN-9198"/>
    <x v="219"/>
    <x v="4"/>
    <s v="EMP-0401"/>
    <s v=" PROMO-00 "/>
    <s v="Cash"/>
    <n v="230"/>
    <s v="2025-08-18"/>
    <x v="7"/>
    <x v="3"/>
    <x v="0"/>
    <s v="Known Employee"/>
    <n v="1"/>
  </r>
  <r>
    <s v="TRN-9531"/>
    <x v="220"/>
    <x v="2"/>
    <s v="EMP-0305"/>
    <s v="PROMO-00"/>
    <s v="Debit Card"/>
    <n v="481"/>
    <s v="2025-08-18"/>
    <x v="7"/>
    <x v="3"/>
    <x v="0"/>
    <s v="Known Employee"/>
    <n v="1"/>
  </r>
  <r>
    <s v="TRN-9990"/>
    <x v="11"/>
    <x v="1"/>
    <s v="EMP-0103"/>
    <s v="No Promotion"/>
    <s v="Cash"/>
    <n v="55"/>
    <s v="2025-08-19"/>
    <x v="7"/>
    <x v="3"/>
    <x v="1"/>
    <s v="Known Employee"/>
    <n v="8"/>
  </r>
  <r>
    <s v="TRN-9869"/>
    <x v="204"/>
    <x v="4"/>
    <s v="EMP-0404"/>
    <s v="PROMO-00"/>
    <s v="Credit Card"/>
    <n v="210"/>
    <s v="2025-08-20"/>
    <x v="7"/>
    <x v="3"/>
    <x v="0"/>
    <s v="Known Employee"/>
    <n v="2"/>
  </r>
  <r>
    <s v="TRN-9627"/>
    <x v="17"/>
    <x v="4"/>
    <s v="EMP-0401"/>
    <s v="PROMO-00"/>
    <s v="Credit Card"/>
    <n v="440"/>
    <s v="2025-08-27"/>
    <x v="7"/>
    <x v="3"/>
    <x v="0"/>
    <s v="Known Employee"/>
    <n v="6"/>
  </r>
  <r>
    <s v=" TRN-9073 "/>
    <x v="0"/>
    <x v="3"/>
    <s v="EMP-0202"/>
    <s v="PROMO-00"/>
    <s v="Debit Card"/>
    <n v="170"/>
    <s v="2025-08-27"/>
    <x v="7"/>
    <x v="3"/>
    <x v="0"/>
    <s v="Known Employee"/>
    <n v="6"/>
  </r>
  <r>
    <s v="TRN-9452"/>
    <x v="221"/>
    <x v="2"/>
    <s v="EMP-0301"/>
    <s v="PROMO-00"/>
    <s v="Mobile Payment"/>
    <n v="795"/>
    <s v="2025-08-29"/>
    <x v="7"/>
    <x v="3"/>
    <x v="0"/>
    <s v="Known Employee"/>
    <n v="1"/>
  </r>
  <r>
    <s v="TRN-9234"/>
    <x v="38"/>
    <x v="2"/>
    <s v="EMP-0302"/>
    <s v="PROMO-00"/>
    <s v="Debit Card"/>
    <n v="150"/>
    <s v="2025-08-31"/>
    <x v="7"/>
    <x v="3"/>
    <x v="0"/>
    <s v="Known Employee"/>
    <n v="5"/>
  </r>
  <r>
    <s v="TRN-9776"/>
    <x v="74"/>
    <x v="6"/>
    <s v="EMP-0202"/>
    <s v="PROMO-00"/>
    <s v="Debit Card"/>
    <n v="625"/>
    <s v="2025-09-04"/>
    <x v="8"/>
    <x v="4"/>
    <x v="0"/>
    <s v="Known Employee"/>
    <n v="8"/>
  </r>
  <r>
    <s v="TRN-9124"/>
    <x v="214"/>
    <x v="1"/>
    <s v="EMP-0102"/>
    <s v="PROMO-01"/>
    <s v="Credit Card"/>
    <n v="144.5"/>
    <s v="2025-09-04"/>
    <x v="8"/>
    <x v="4"/>
    <x v="0"/>
    <s v="Known Employee"/>
    <n v="3"/>
  </r>
  <r>
    <s v="TRN-9348"/>
    <x v="217"/>
    <x v="2"/>
    <s v="EMP-0301"/>
    <s v=" PROMO-00 "/>
    <s v="Mobile Payment"/>
    <n v="454"/>
    <s v="2025-09-07"/>
    <x v="8"/>
    <x v="4"/>
    <x v="0"/>
    <s v="Known Employee"/>
    <n v="3"/>
  </r>
  <r>
    <s v="TRN-9102"/>
    <x v="105"/>
    <x v="3"/>
    <s v="EMP-0201"/>
    <s v="PROMO-00"/>
    <s v="Cash"/>
    <n v="198"/>
    <s v="2025-09-09"/>
    <x v="8"/>
    <x v="4"/>
    <x v="0"/>
    <s v="Known Employee"/>
    <n v="4"/>
  </r>
  <r>
    <s v="TRN-9998"/>
    <x v="111"/>
    <x v="1"/>
    <s v="Unknown"/>
    <s v="No Promotion"/>
    <s v="Debit Card"/>
    <n v="165.75"/>
    <s v="2025-09-09"/>
    <x v="8"/>
    <x v="4"/>
    <x v="1"/>
    <s v="UnKnown Employee"/>
    <n v="5"/>
  </r>
  <r>
    <s v="TRN-9919"/>
    <x v="112"/>
    <x v="1"/>
    <s v="EMP-0102"/>
    <s v="PROMO-00"/>
    <s v="Mobile Payment"/>
    <n v="116"/>
    <s v="2025-09-11"/>
    <x v="8"/>
    <x v="4"/>
    <x v="0"/>
    <s v="Known Employee"/>
    <n v="6"/>
  </r>
  <r>
    <s v="TRN-9748"/>
    <x v="88"/>
    <x v="1"/>
    <s v="EMP-0102"/>
    <s v="PROMO-00"/>
    <s v="Debit Card"/>
    <n v="239"/>
    <s v="2025-09-13"/>
    <x v="8"/>
    <x v="4"/>
    <x v="0"/>
    <s v="Known Employee"/>
    <n v="5"/>
  </r>
  <r>
    <s v="TRN-9390"/>
    <x v="126"/>
    <x v="3"/>
    <s v="EMP-0204"/>
    <s v="PROMO-02"/>
    <s v="Mobile Payment"/>
    <n v="633.6"/>
    <s v="2025-09-14"/>
    <x v="8"/>
    <x v="4"/>
    <x v="0"/>
    <s v="Known Employee"/>
    <n v="5"/>
  </r>
  <r>
    <s v="TRN-9977"/>
    <x v="42"/>
    <x v="4"/>
    <s v="EMP-0404"/>
    <s v="PROMO-00"/>
    <s v="Cash"/>
    <n v="700"/>
    <s v="2025-09-14"/>
    <x v="8"/>
    <x v="4"/>
    <x v="0"/>
    <s v="Known Employee"/>
    <n v="5"/>
  </r>
  <r>
    <s v="TRN-9493"/>
    <x v="6"/>
    <x v="4"/>
    <s v="EMP-0405"/>
    <s v="PROMO-00"/>
    <s v="Mobile Payment"/>
    <n v="95"/>
    <s v="2025-09-18"/>
    <x v="8"/>
    <x v="4"/>
    <x v="0"/>
    <s v="Known Employee"/>
    <n v="5"/>
  </r>
  <r>
    <s v="TRN-9895"/>
    <x v="191"/>
    <x v="4"/>
    <s v="EMP-0405"/>
    <s v="PROMO-02"/>
    <s v="Cash"/>
    <n v="378.9"/>
    <s v="2025-09-19"/>
    <x v="8"/>
    <x v="4"/>
    <x v="0"/>
    <s v="Known Employee"/>
    <n v="2"/>
  </r>
  <r>
    <s v="TRN-9469"/>
    <x v="193"/>
    <x v="1"/>
    <s v="EMP-0102"/>
    <s v="PROMO-00"/>
    <s v="Debit Card"/>
    <n v="340"/>
    <s v="2025-09-20"/>
    <x v="8"/>
    <x v="4"/>
    <x v="0"/>
    <s v="Known Employee"/>
    <n v="5"/>
  </r>
  <r>
    <s v="TRN-9216"/>
    <x v="203"/>
    <x v="2"/>
    <s v="EMP-0302"/>
    <s v="PROMO-03"/>
    <s v="Cash"/>
    <n v="546.25"/>
    <s v="2025-09-21"/>
    <x v="8"/>
    <x v="4"/>
    <x v="0"/>
    <s v="Known Employee"/>
    <n v="2"/>
  </r>
  <r>
    <s v="TRN-9036"/>
    <x v="20"/>
    <x v="3"/>
    <s v="EMP-0205"/>
    <s v="PROMO-00"/>
    <s v="Debit Card"/>
    <n v="318"/>
    <s v="2025-09-23"/>
    <x v="8"/>
    <x v="4"/>
    <x v="0"/>
    <s v="Known Employee"/>
    <n v="7"/>
  </r>
  <r>
    <s v="TRN-9642"/>
    <x v="66"/>
    <x v="2"/>
    <s v="Unknown"/>
    <s v="PROMO-03"/>
    <s v="Credit Card"/>
    <n v="47.5"/>
    <s v="2025-09-24"/>
    <x v="8"/>
    <x v="4"/>
    <x v="0"/>
    <s v="UnKnown Employee"/>
    <n v="6"/>
  </r>
  <r>
    <s v="TRN-9991"/>
    <x v="206"/>
    <x v="4"/>
    <s v="EMP-0403"/>
    <s v="PROMO-00"/>
    <s v="Mobile Payment"/>
    <n v="140"/>
    <s v="2025-09-28"/>
    <x v="8"/>
    <x v="4"/>
    <x v="0"/>
    <s v="Known Employee"/>
    <n v="2"/>
  </r>
  <r>
    <s v="TRN-9326"/>
    <x v="25"/>
    <x v="2"/>
    <s v="EMP-0304"/>
    <s v="PROMO-00"/>
    <s v="Credit Card"/>
    <n v="60"/>
    <s v="2025-09-28"/>
    <x v="8"/>
    <x v="4"/>
    <x v="0"/>
    <s v="Known Employee"/>
    <n v="4"/>
  </r>
  <r>
    <s v="TRN-9589"/>
    <x v="170"/>
    <x v="2"/>
    <s v="EMP-0302"/>
    <s v="PROMO-00"/>
    <s v="Credit Card"/>
    <n v="204"/>
    <s v="2025-09-29"/>
    <x v="8"/>
    <x v="4"/>
    <x v="0"/>
    <s v="Known Employee"/>
    <n v="3"/>
  </r>
  <r>
    <s v="TRN-9982"/>
    <x v="55"/>
    <x v="4"/>
    <s v="EMP-0403"/>
    <s v="PROMO-00"/>
    <s v="Credit Card"/>
    <n v="100"/>
    <s v="2025-10-02"/>
    <x v="9"/>
    <x v="5"/>
    <x v="0"/>
    <s v="Known Employee"/>
    <n v="5"/>
  </r>
  <r>
    <s v="TRN-9723"/>
    <x v="48"/>
    <x v="2"/>
    <s v="EMP-0304"/>
    <s v="PROMO-00"/>
    <s v="Debit Card"/>
    <n v="360"/>
    <s v="2025-10-03"/>
    <x v="9"/>
    <x v="5"/>
    <x v="0"/>
    <s v="Known Employee"/>
    <n v="4"/>
  </r>
  <r>
    <s v="TRN-9201"/>
    <x v="45"/>
    <x v="1"/>
    <s v="EMP-0101"/>
    <s v="No Promotion"/>
    <s v="Cash"/>
    <n v="389.7"/>
    <s v="2025-10-03"/>
    <x v="9"/>
    <x v="5"/>
    <x v="1"/>
    <s v="Known Employee"/>
    <n v="4"/>
  </r>
  <r>
    <s v="TRN-9430"/>
    <x v="200"/>
    <x v="3"/>
    <s v="EMP-0203"/>
    <s v="No Promotion"/>
    <s v="Cash"/>
    <n v="165"/>
    <s v="2025-10-05"/>
    <x v="9"/>
    <x v="5"/>
    <x v="1"/>
    <s v="Known Employee"/>
    <n v="3"/>
  </r>
  <r>
    <s v="TRN-9406"/>
    <x v="35"/>
    <x v="3"/>
    <s v="EMP-0205"/>
    <s v="PROMO-01"/>
    <s v="Mobile Payment"/>
    <n v="544.85"/>
    <s v="2025-10-05"/>
    <x v="9"/>
    <x v="5"/>
    <x v="0"/>
    <s v="Known Employee"/>
    <n v="7"/>
  </r>
  <r>
    <s v="TRN-9871"/>
    <x v="17"/>
    <x v="4"/>
    <s v="EMP-0404"/>
    <s v="PROMO-03"/>
    <s v="Credit Card"/>
    <n v="52.25"/>
    <s v="2025-10-06"/>
    <x v="9"/>
    <x v="5"/>
    <x v="0"/>
    <s v="Known Employee"/>
    <n v="6"/>
  </r>
  <r>
    <s v="TRN-9018"/>
    <x v="173"/>
    <x v="3"/>
    <s v="EMP-0204"/>
    <s v="PROMO-00"/>
    <s v="Credit Card"/>
    <n v="245"/>
    <s v="2025-10-07"/>
    <x v="9"/>
    <x v="5"/>
    <x v="0"/>
    <s v="Known Employee"/>
    <n v="5"/>
  </r>
  <r>
    <s v="TRN-9253"/>
    <x v="90"/>
    <x v="2"/>
    <s v="EMP-0302"/>
    <s v="PROMO-00"/>
    <s v="Debit Card"/>
    <n v="188"/>
    <s v="2025-10-08"/>
    <x v="9"/>
    <x v="5"/>
    <x v="0"/>
    <s v="Known Employee"/>
    <n v="7"/>
  </r>
  <r>
    <s v="TRN-9189"/>
    <x v="179"/>
    <x v="2"/>
    <s v="EMP-0302"/>
    <s v="PROMO-03"/>
    <s v="Mobile Payment"/>
    <n v="392.35"/>
    <s v="2025-10-15"/>
    <x v="9"/>
    <x v="5"/>
    <x v="0"/>
    <s v="Known Employee"/>
    <n v="5"/>
  </r>
  <r>
    <s v="TRN-9615"/>
    <x v="36"/>
    <x v="2"/>
    <s v="EMP-0303"/>
    <s v="PROMO-00"/>
    <s v="Cash"/>
    <n v="50"/>
    <s v="2025-10-16"/>
    <x v="9"/>
    <x v="5"/>
    <x v="0"/>
    <s v="Known Employee"/>
    <n v="9"/>
  </r>
  <r>
    <s v="TRN-9749"/>
    <x v="35"/>
    <x v="3"/>
    <s v="EMP-0204"/>
    <s v="PROMO-00"/>
    <s v="Debit Card"/>
    <n v="630"/>
    <s v="2025-10-17"/>
    <x v="9"/>
    <x v="5"/>
    <x v="0"/>
    <s v="Known Employee"/>
    <n v="7"/>
  </r>
  <r>
    <s v="TRN-9847"/>
    <x v="52"/>
    <x v="1"/>
    <s v="EMP-0102"/>
    <s v="PROMO-00"/>
    <s v="Cash"/>
    <n v="617"/>
    <s v="2025-10-21"/>
    <x v="9"/>
    <x v="5"/>
    <x v="0"/>
    <s v="Known Employee"/>
    <n v="4"/>
  </r>
  <r>
    <s v="TRN-9100"/>
    <x v="154"/>
    <x v="6"/>
    <s v="EMP-0203"/>
    <s v="No Promotion"/>
    <s v="Credit Card"/>
    <n v="188"/>
    <s v="2025-10-22"/>
    <x v="9"/>
    <x v="5"/>
    <x v="1"/>
    <s v="Known Employee"/>
    <n v="7"/>
  </r>
  <r>
    <s v="TRN-9843"/>
    <x v="59"/>
    <x v="4"/>
    <s v="EMP-0401"/>
    <s v="PROMO-01"/>
    <s v="Credit Card"/>
    <n v="451.35"/>
    <s v="2025-10-24"/>
    <x v="9"/>
    <x v="5"/>
    <x v="0"/>
    <s v="Known Employee"/>
    <n v="5"/>
  </r>
  <r>
    <s v="TRN-9304"/>
    <x v="197"/>
    <x v="1"/>
    <s v="EMP-0104"/>
    <s v="PROMO-03"/>
    <s v="Debit Card"/>
    <n v="432.25"/>
    <s v="2025-10-29"/>
    <x v="9"/>
    <x v="5"/>
    <x v="0"/>
    <s v="Known Employee"/>
    <n v="4"/>
  </r>
  <r>
    <s v="TRN-9277"/>
    <x v="160"/>
    <x v="4"/>
    <s v="EMP-0402"/>
    <s v=" PROMO-00 "/>
    <s v="Unknown"/>
    <n v="143"/>
    <s v="2025-10-30"/>
    <x v="9"/>
    <x v="5"/>
    <x v="0"/>
    <s v="Known Employee"/>
    <n v="3"/>
  </r>
  <r>
    <s v="TRN-9629"/>
    <x v="25"/>
    <x v="6"/>
    <s v="EMP-0204"/>
    <s v="PROMO-00"/>
    <s v="Cash"/>
    <n v="430"/>
    <s v="2025-10-30"/>
    <x v="9"/>
    <x v="5"/>
    <x v="0"/>
    <s v="Known Employee"/>
    <n v="4"/>
  </r>
  <r>
    <s v="TRN-9415"/>
    <x v="181"/>
    <x v="1"/>
    <s v="EMP-0101"/>
    <s v="PROMO-01"/>
    <s v=" Credit Card "/>
    <n v="170"/>
    <s v="2025-10-31"/>
    <x v="9"/>
    <x v="5"/>
    <x v="0"/>
    <s v="Known Employee"/>
    <n v="6"/>
  </r>
  <r>
    <s v="TRN-9668"/>
    <x v="174"/>
    <x v="3"/>
    <s v="EMP-0201"/>
    <s v="PROMO-00"/>
    <s v="Debit Card"/>
    <n v="444"/>
    <s v="2025-11-01"/>
    <x v="10"/>
    <x v="5"/>
    <x v="0"/>
    <s v="Known Employee"/>
    <n v="4"/>
  </r>
  <r>
    <s v="TRN-9661"/>
    <x v="222"/>
    <x v="4"/>
    <s v="EMP-0405"/>
    <s v="PROMO-03"/>
    <s v="Credit Card"/>
    <n v="270.75"/>
    <s v="2025-11-02"/>
    <x v="10"/>
    <x v="5"/>
    <x v="0"/>
    <s v="Known Employee"/>
    <n v="1"/>
  </r>
  <r>
    <s v="TRN-9275"/>
    <x v="148"/>
    <x v="7"/>
    <s v="EMP-0302"/>
    <s v="PROMO-00"/>
    <s v="Credit Card"/>
    <n v="293"/>
    <s v="2025-11-02"/>
    <x v="10"/>
    <x v="5"/>
    <x v="0"/>
    <s v="Known Employee"/>
    <n v="4"/>
  </r>
  <r>
    <s v="TRN-9356"/>
    <x v="13"/>
    <x v="3"/>
    <s v="EMP-0205"/>
    <s v="PROMO-00"/>
    <s v="Cash"/>
    <n v="170"/>
    <s v="2025-11-03"/>
    <x v="10"/>
    <x v="5"/>
    <x v="0"/>
    <s v="Known Employee"/>
    <n v="4"/>
  </r>
  <r>
    <s v="TRN-9002"/>
    <x v="184"/>
    <x v="1"/>
    <s v="EMP-0102"/>
    <s v="PROMO-00"/>
    <s v="Cash"/>
    <n v="501"/>
    <s v="2025-11-05"/>
    <x v="10"/>
    <x v="5"/>
    <x v="0"/>
    <s v="Known Employee"/>
    <n v="4"/>
  </r>
  <r>
    <s v="TRN-9280"/>
    <x v="92"/>
    <x v="1"/>
    <s v="EMP-0104"/>
    <s v="PROMO-00"/>
    <s v="Mobile Payment"/>
    <n v="440"/>
    <s v="2025-11-06"/>
    <x v="10"/>
    <x v="5"/>
    <x v="0"/>
    <s v="Known Employee"/>
    <n v="4"/>
  </r>
  <r>
    <s v="TRN-9210"/>
    <x v="175"/>
    <x v="2"/>
    <s v="EMP-0305"/>
    <s v="PROMO-00"/>
    <s v="Debit Card"/>
    <n v="589"/>
    <s v="2025-11-07"/>
    <x v="10"/>
    <x v="5"/>
    <x v="0"/>
    <s v="Known Employee"/>
    <n v="3"/>
  </r>
  <r>
    <s v="TRN-9471"/>
    <x v="118"/>
    <x v="3"/>
    <s v="Unknown"/>
    <s v="PROMO-03"/>
    <s v="Mobile Payment"/>
    <n v="104.5"/>
    <s v="2025-11-10"/>
    <x v="10"/>
    <x v="5"/>
    <x v="0"/>
    <s v="UnKnown Employee"/>
    <n v="4"/>
  </r>
  <r>
    <s v="TRN-9317"/>
    <x v="61"/>
    <x v="4"/>
    <s v="EMP-0402"/>
    <s v="PROMO-00"/>
    <s v="Debit Card"/>
    <n v="317"/>
    <s v="2025-11-12"/>
    <x v="10"/>
    <x v="5"/>
    <x v="0"/>
    <s v="Known Employee"/>
    <n v="4"/>
  </r>
  <r>
    <s v="TRN-9819"/>
    <x v="65"/>
    <x v="1"/>
    <s v="EMP-0103"/>
    <s v="PROMO-00"/>
    <s v="Credit Card"/>
    <n v="355"/>
    <s v="2025-11-13"/>
    <x v="10"/>
    <x v="5"/>
    <x v="0"/>
    <s v="Known Employee"/>
    <n v="4"/>
  </r>
  <r>
    <s v="TRN-9560"/>
    <x v="68"/>
    <x v="4"/>
    <s v="EMP-0402"/>
    <s v="PROMO-00"/>
    <s v="Mobile Payment"/>
    <n v="535"/>
    <s v="2025-11-17"/>
    <x v="10"/>
    <x v="5"/>
    <x v="0"/>
    <s v="Known Employee"/>
    <n v="4"/>
  </r>
  <r>
    <s v="TRN-9422"/>
    <x v="108"/>
    <x v="3"/>
    <s v="EMP-0204"/>
    <s v="PROMO-03"/>
    <s v="Credit Card"/>
    <n v="266"/>
    <s v="2025-11-20"/>
    <x v="10"/>
    <x v="5"/>
    <x v="0"/>
    <s v="Known Employee"/>
    <n v="4"/>
  </r>
  <r>
    <s v="TRN-9211"/>
    <x v="21"/>
    <x v="2"/>
    <s v="EMP-0305"/>
    <s v="PROMO-00"/>
    <s v="Credit Card"/>
    <n v="240"/>
    <s v="2025-11-21"/>
    <x v="10"/>
    <x v="5"/>
    <x v="0"/>
    <s v="Known Employee"/>
    <n v="4"/>
  </r>
  <r>
    <s v="TRN-9532"/>
    <x v="108"/>
    <x v="3"/>
    <s v="EMP-0203"/>
    <s v="PROMO-00"/>
    <s v="Credit Card"/>
    <n v="660"/>
    <s v="2025-11-21"/>
    <x v="10"/>
    <x v="5"/>
    <x v="0"/>
    <s v="Known Employee"/>
    <n v="4"/>
  </r>
  <r>
    <s v="TRN-9868"/>
    <x v="7"/>
    <x v="1"/>
    <s v="EMP-0104"/>
    <s v="PROMO-01"/>
    <s v="Credit Card"/>
    <n v="472.6"/>
    <s v="2025-11-24"/>
    <x v="10"/>
    <x v="5"/>
    <x v="0"/>
    <s v="Known Employee"/>
    <n v="6"/>
  </r>
  <r>
    <s v="TRN-9617"/>
    <x v="150"/>
    <x v="4"/>
    <s v="EMP-0405"/>
    <s v="PROMO-00"/>
    <s v="Cash"/>
    <n v="513"/>
    <s v="2025-11-27"/>
    <x v="10"/>
    <x v="5"/>
    <x v="0"/>
    <s v="Known Employee"/>
    <n v="5"/>
  </r>
  <r>
    <s v="TRN-9720"/>
    <x v="90"/>
    <x v="2"/>
    <s v="EMP-0303"/>
    <s v="No Promotion"/>
    <s v="Unknown"/>
    <n v="499"/>
    <s v="2025-11-29"/>
    <x v="10"/>
    <x v="5"/>
    <x v="1"/>
    <s v="Known Employee"/>
    <n v="7"/>
  </r>
  <r>
    <s v="TRN-9290"/>
    <x v="223"/>
    <x v="2"/>
    <s v="EMP-0305"/>
    <s v="PROMO-00"/>
    <s v="Debit Card"/>
    <n v="455"/>
    <s v="2025-11-30"/>
    <x v="10"/>
    <x v="5"/>
    <x v="0"/>
    <s v="Known Employee"/>
    <n v="1"/>
  </r>
  <r>
    <s v="TRN-9833"/>
    <x v="150"/>
    <x v="3"/>
    <s v="EMP-0204"/>
    <s v="PROMO-02"/>
    <s v="Unknown"/>
    <n v="45"/>
    <s v="2025-11-30"/>
    <x v="10"/>
    <x v="5"/>
    <x v="0"/>
    <s v="Known Employee"/>
    <n v="5"/>
  </r>
  <r>
    <s v="TRN-9865"/>
    <x v="185"/>
    <x v="3"/>
    <s v="Unknown"/>
    <s v="PROMO-02"/>
    <s v="Debit Card"/>
    <n v="225"/>
    <s v="2025-12-01"/>
    <x v="11"/>
    <x v="1"/>
    <x v="0"/>
    <s v="UnKnown Employee"/>
    <n v="5"/>
  </r>
  <r>
    <s v="TRN-9842"/>
    <x v="200"/>
    <x v="4"/>
    <s v="EMP-0405"/>
    <s v="PROMO-00"/>
    <s v="Credit Card"/>
    <n v="441"/>
    <s v="2025-12-02"/>
    <x v="11"/>
    <x v="1"/>
    <x v="0"/>
    <s v="Known Employee"/>
    <n v="3"/>
  </r>
  <r>
    <s v="TRN-9367"/>
    <x v="7"/>
    <x v="2"/>
    <s v="EMP-0301"/>
    <s v="PROMO-00"/>
    <s v=" Mobile Payment "/>
    <n v="60"/>
    <s v="2025-12-05"/>
    <x v="11"/>
    <x v="1"/>
    <x v="0"/>
    <s v="Known Employee"/>
    <n v="6"/>
  </r>
  <r>
    <s v="TRN-9534"/>
    <x v="181"/>
    <x v="2"/>
    <s v="EMP-0302"/>
    <s v="PROMO-00"/>
    <s v="Mobile Payment"/>
    <n v="348"/>
    <s v="2025-12-06"/>
    <x v="11"/>
    <x v="1"/>
    <x v="0"/>
    <s v="Known Employee"/>
    <n v="6"/>
  </r>
  <r>
    <s v="TRN-9051"/>
    <x v="72"/>
    <x v="2"/>
    <s v="EMP-0302"/>
    <s v="PROMO-00"/>
    <s v="Cash"/>
    <n v="579"/>
    <s v="2025-12-10"/>
    <x v="11"/>
    <x v="1"/>
    <x v="0"/>
    <s v="Known Employee"/>
    <n v="2"/>
  </r>
  <r>
    <s v="TRN-9943"/>
    <x v="224"/>
    <x v="1"/>
    <s v="EMP-0102"/>
    <s v="PROMO-03"/>
    <s v="Debit Card"/>
    <n v="285"/>
    <s v="2025-12-12"/>
    <x v="11"/>
    <x v="1"/>
    <x v="0"/>
    <s v="Known Employee"/>
    <n v="1"/>
  </r>
  <r>
    <s v="TRN-9678"/>
    <x v="38"/>
    <x v="1"/>
    <s v="EMP-0105"/>
    <s v="PROMO-02"/>
    <s v="Debit Card"/>
    <n v="594.9"/>
    <s v="2025-12-15"/>
    <x v="11"/>
    <x v="1"/>
    <x v="0"/>
    <s v="Known Employee"/>
    <n v="5"/>
  </r>
  <r>
    <s v="TRN-9928"/>
    <x v="104"/>
    <x v="4"/>
    <s v="EMP-0403"/>
    <s v="PROMO-00"/>
    <s v="Debit Card"/>
    <n v="165"/>
    <s v="2025-12-15"/>
    <x v="11"/>
    <x v="1"/>
    <x v="0"/>
    <s v="Known Employee"/>
    <n v="6"/>
  </r>
  <r>
    <s v=" TRN-9729 "/>
    <x v="81"/>
    <x v="1"/>
    <s v="EMP-0104"/>
    <s v="PROMO-00"/>
    <s v="Mobile Payment"/>
    <n v="285"/>
    <s v="2025-12-16"/>
    <x v="11"/>
    <x v="1"/>
    <x v="0"/>
    <s v="Known Employee"/>
    <n v="3"/>
  </r>
  <r>
    <s v="TRN-9172"/>
    <x v="140"/>
    <x v="7"/>
    <s v="EMP-0303"/>
    <s v="PROMO-00"/>
    <s v="Credit Card"/>
    <n v="699"/>
    <s v="2025-12-16"/>
    <x v="11"/>
    <x v="1"/>
    <x v="0"/>
    <s v="Known Employee"/>
    <n v="4"/>
  </r>
  <r>
    <s v="TRN-9138"/>
    <x v="123"/>
    <x v="4"/>
    <s v="EMP-0402"/>
    <s v="PROMO-01"/>
    <s v="Cash"/>
    <n v="195.5"/>
    <s v="2025-12-16"/>
    <x v="11"/>
    <x v="1"/>
    <x v="0"/>
    <s v="Known Employee"/>
    <n v="5"/>
  </r>
  <r>
    <s v="TRN-9231"/>
    <x v="3"/>
    <x v="2"/>
    <s v="EMP-0302"/>
    <s v="PROMO-00"/>
    <s v="Cash"/>
    <n v="270"/>
    <s v="2025-12-19"/>
    <x v="11"/>
    <x v="1"/>
    <x v="0"/>
    <s v="Known Employee"/>
    <n v="8"/>
  </r>
  <r>
    <s v="TRN-9721"/>
    <x v="128"/>
    <x v="2"/>
    <s v="EMP-0301"/>
    <s v="PROMO-00"/>
    <s v="Debit Card"/>
    <n v="741"/>
    <s v="2025-12-20"/>
    <x v="11"/>
    <x v="1"/>
    <x v="0"/>
    <s v="Known Employee"/>
    <n v="6"/>
  </r>
  <r>
    <s v="TRN-9296"/>
    <x v="5"/>
    <x v="3"/>
    <s v="EMP-0204"/>
    <s v="PROMO-00"/>
    <s v="Debit Card"/>
    <n v="170"/>
    <s v="2025-12-21"/>
    <x v="11"/>
    <x v="1"/>
    <x v="0"/>
    <s v="Known Employee"/>
    <n v="5"/>
  </r>
  <r>
    <s v="TRN-9148"/>
    <x v="93"/>
    <x v="3"/>
    <s v="EMP-0203"/>
    <s v="PROMO-01"/>
    <s v="Mobile Payment"/>
    <n v="247.35"/>
    <s v="2025-12-23"/>
    <x v="11"/>
    <x v="1"/>
    <x v="0"/>
    <s v="Known Employee"/>
    <n v="5"/>
  </r>
  <r>
    <s v="TRN-9107"/>
    <x v="84"/>
    <x v="4"/>
    <s v="EMP-0404"/>
    <s v=" PROMO-02 "/>
    <s v="Debit Card"/>
    <n v="256.5"/>
    <s v="2025-12-23"/>
    <x v="11"/>
    <x v="1"/>
    <x v="0"/>
    <s v="Known Employee"/>
    <n v="2"/>
  </r>
  <r>
    <s v="TRN-9025"/>
    <x v="33"/>
    <x v="3"/>
    <s v="Unknown"/>
    <s v="PROMO-00"/>
    <s v="Unknown"/>
    <n v="620"/>
    <s v="2025-12-23"/>
    <x v="11"/>
    <x v="1"/>
    <x v="0"/>
    <s v="UnKnown Employee"/>
    <n v="4"/>
  </r>
  <r>
    <s v="TRN-9040"/>
    <x v="197"/>
    <x v="2"/>
    <s v="EMP-0303"/>
    <s v="PROMO-00"/>
    <s v="Cash"/>
    <n v="195"/>
    <s v="2025-12-26"/>
    <x v="11"/>
    <x v="1"/>
    <x v="0"/>
    <s v="Known Employee"/>
    <n v="4"/>
  </r>
  <r>
    <s v="TRN-9127"/>
    <x v="170"/>
    <x v="4"/>
    <s v="EMP-0401"/>
    <s v="PROMO-02"/>
    <s v="Debit Card"/>
    <n v="301.5"/>
    <s v="2025-12-28"/>
    <x v="11"/>
    <x v="1"/>
    <x v="0"/>
    <s v="Known Employee"/>
    <n v="3"/>
  </r>
  <r>
    <s v="TRN-9662"/>
    <x v="189"/>
    <x v="2"/>
    <s v="EMP-0304"/>
    <s v="PROMO-00"/>
    <s v="Cash"/>
    <n v="320"/>
    <s v="2025-12-29"/>
    <x v="11"/>
    <x v="1"/>
    <x v="0"/>
    <s v="Known Employee"/>
    <n v="3"/>
  </r>
  <r>
    <s v="TRN-9219"/>
    <x v="225"/>
    <x v="3"/>
    <s v="EMP-0203"/>
    <s v="PROMO-00"/>
    <s v="Mobile Payment"/>
    <n v="100"/>
    <s v="2026-01-01"/>
    <x v="0"/>
    <x v="0"/>
    <x v="0"/>
    <s v="Known Employee"/>
    <n v="1"/>
  </r>
  <r>
    <s v="TRN-9547"/>
    <x v="131"/>
    <x v="1"/>
    <s v="EMP-0101"/>
    <s v="PROMO-00"/>
    <s v="Credit Card"/>
    <n v="65"/>
    <s v="2026-01-01"/>
    <x v="0"/>
    <x v="0"/>
    <x v="0"/>
    <s v="Known Employee"/>
    <n v="3"/>
  </r>
  <r>
    <s v="TRN-9293"/>
    <x v="193"/>
    <x v="3"/>
    <s v="EMP-0201"/>
    <s v="PROMO-02"/>
    <s v="Cash"/>
    <n v="713.7"/>
    <s v="2026-01-02"/>
    <x v="0"/>
    <x v="0"/>
    <x v="0"/>
    <s v="Known Employee"/>
    <n v="5"/>
  </r>
  <r>
    <s v="TRN-9433"/>
    <x v="195"/>
    <x v="4"/>
    <s v="EMP-0403"/>
    <s v="PROMO-00"/>
    <s v="Credit Card"/>
    <n v="110"/>
    <s v="2026-01-07"/>
    <x v="0"/>
    <x v="0"/>
    <x v="0"/>
    <s v="Known Employee"/>
    <n v="5"/>
  </r>
  <r>
    <s v="TRN-9346"/>
    <x v="102"/>
    <x v="1"/>
    <s v="EMP-0101"/>
    <s v="PROMO-00"/>
    <s v="Cash"/>
    <n v="110"/>
    <s v="2026-01-14"/>
    <x v="0"/>
    <x v="0"/>
    <x v="0"/>
    <s v="Known Employee"/>
    <n v="5"/>
  </r>
  <r>
    <s v="TRN-9572"/>
    <x v="8"/>
    <x v="4"/>
    <s v="EMP-0405"/>
    <s v="PROMO-00"/>
    <s v="Cash"/>
    <n v="225"/>
    <s v="2026-01-16"/>
    <x v="0"/>
    <x v="0"/>
    <x v="0"/>
    <s v="Known Employee"/>
    <n v="7"/>
  </r>
  <r>
    <s v="TRN-9108"/>
    <x v="37"/>
    <x v="2"/>
    <s v="EMP-0305"/>
    <s v="No Promotion"/>
    <s v="Mobile Payment"/>
    <n v="485"/>
    <s v="2026-01-19"/>
    <x v="0"/>
    <x v="0"/>
    <x v="1"/>
    <s v="Known Employee"/>
    <n v="4"/>
  </r>
  <r>
    <s v=" TRN-9968 "/>
    <x v="161"/>
    <x v="1"/>
    <s v="EMP-0101"/>
    <s v="PROMO-00"/>
    <s v="Debit Card"/>
    <n v="590"/>
    <s v="2026-01-19"/>
    <x v="0"/>
    <x v="0"/>
    <x v="0"/>
    <s v="Known Employee"/>
    <n v="4"/>
  </r>
  <r>
    <s v="TRN-9506"/>
    <x v="7"/>
    <x v="2"/>
    <s v="EMP-0304"/>
    <s v="PROMO-03"/>
    <s v="Cash"/>
    <n v="137.75"/>
    <s v="2026-01-20"/>
    <x v="0"/>
    <x v="0"/>
    <x v="0"/>
    <s v="Known Employee"/>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204D8-2401-4F00-821A-C1E0439F0EC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showAll="0"/>
    <pivotField showAll="0"/>
    <pivotField showAll="0">
      <items count="11">
        <item h="1" x="5"/>
        <item h="1" x="6"/>
        <item x="7"/>
        <item h="1" x="8"/>
        <item h="1" x="1"/>
        <item h="1" x="3"/>
        <item h="1" x="2"/>
        <item h="1" x="4"/>
        <item h="1" x="0"/>
        <item h="1" x="9"/>
        <item t="default"/>
      </items>
    </pivotField>
    <pivotField showAll="0"/>
    <pivotField showAll="0"/>
    <pivotField showAll="0"/>
    <pivotField dataField="1" numFmtId="2" showAll="0"/>
    <pivotField showAll="0"/>
    <pivotField showAll="0">
      <items count="13">
        <item h="1" x="0"/>
        <item h="1" x="1"/>
        <item h="1" x="2"/>
        <item h="1" x="3"/>
        <item h="1" x="4"/>
        <item h="1" x="5"/>
        <item x="6"/>
        <item h="1" x="7"/>
        <item h="1" x="8"/>
        <item h="1" x="9"/>
        <item h="1" x="10"/>
        <item h="1" x="11"/>
        <item t="default"/>
      </items>
    </pivotField>
    <pivotField axis="axisRow" showAll="0" sortType="descending">
      <items count="7">
        <item x="5"/>
        <item x="2"/>
        <item x="0"/>
        <item x="4"/>
        <item x="3"/>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s>
  <rowFields count="1">
    <field x="9"/>
  </rowFields>
  <rowItems count="2">
    <i>
      <x v="5"/>
    </i>
    <i t="grand">
      <x/>
    </i>
  </rowItems>
  <colItems count="1">
    <i/>
  </colItems>
  <dataFields count="1">
    <dataField name="Sum of TotalAmount" fld="6" baseField="0" baseItem="0" numFmtId="2"/>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A39B1-D72C-4F30-8556-AB197BF9682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TotalAmount"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_working (3)!$A$1:$M$80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31F5F-4F1A-4892-A3AC-C2D192AC5AEE}"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3" firstHeaderRow="1" firstDataRow="1" firstDataCol="1"/>
  <pivotFields count="3">
    <pivotField allDrilled="1" subtotalTop="0" showAll="0" sortType="descending" defaultSubtotal="0" defaultAttributeDrillState="1">
      <items count="10">
        <item x="0"/>
        <item x="9"/>
        <item x="8"/>
        <item x="7"/>
        <item x="6"/>
        <item x="5"/>
        <item x="4"/>
        <item x="3"/>
        <item x="2"/>
        <item x="1"/>
      </items>
    </pivotField>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2"/>
  </rowFields>
  <rowItems count="10">
    <i>
      <x v="7"/>
    </i>
    <i>
      <x v="6"/>
    </i>
    <i>
      <x v="5"/>
    </i>
    <i>
      <x v="4"/>
    </i>
    <i>
      <x v="1"/>
    </i>
    <i>
      <x v="8"/>
    </i>
    <i>
      <x v="3"/>
    </i>
    <i>
      <x/>
    </i>
    <i>
      <x v="2"/>
    </i>
    <i t="grand">
      <x/>
    </i>
  </rowItems>
  <colItems count="1">
    <i/>
  </colItems>
  <dataFields count="1">
    <dataField name="Sum of TotalAmount" fld="1"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_working (3)!$A$1:$P$805">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EC1571-2137-4F1F-ABC3-AEFBB6D2ED26}"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TotalAmount" fld="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_working (3)!$A$1:$M$80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F7CC5D-AB80-4F19-A082-9B04EE789929}"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Total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_working (3)!$A$1:$M$80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1DD39E-F751-479D-AA31-D31445AF116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13">
    <pivotField dataField="1" showAll="0"/>
    <pivotField axis="axisRow" showAll="0" sortType="descending">
      <items count="227">
        <item x="212"/>
        <item x="203"/>
        <item x="116"/>
        <item x="72"/>
        <item x="165"/>
        <item x="190"/>
        <item x="91"/>
        <item x="103"/>
        <item x="205"/>
        <item x="149"/>
        <item x="213"/>
        <item x="188"/>
        <item x="166"/>
        <item x="192"/>
        <item x="219"/>
        <item x="218"/>
        <item x="201"/>
        <item x="113"/>
        <item x="129"/>
        <item x="223"/>
        <item x="221"/>
        <item x="134"/>
        <item x="225"/>
        <item x="30"/>
        <item x="224"/>
        <item x="26"/>
        <item x="171"/>
        <item x="89"/>
        <item x="151"/>
        <item x="220"/>
        <item x="6"/>
        <item x="38"/>
        <item x="128"/>
        <item x="216"/>
        <item x="172"/>
        <item x="101"/>
        <item x="74"/>
        <item x="209"/>
        <item x="168"/>
        <item x="114"/>
        <item x="130"/>
        <item x="64"/>
        <item x="17"/>
        <item x="93"/>
        <item x="32"/>
        <item x="7"/>
        <item x="104"/>
        <item x="186"/>
        <item x="215"/>
        <item x="99"/>
        <item x="159"/>
        <item x="8"/>
        <item x="160"/>
        <item x="98"/>
        <item x="106"/>
        <item x="68"/>
        <item x="169"/>
        <item x="52"/>
        <item x="29"/>
        <item x="97"/>
        <item x="121"/>
        <item x="96"/>
        <item x="189"/>
        <item x="77"/>
        <item x="84"/>
        <item x="167"/>
        <item x="79"/>
        <item x="49"/>
        <item x="13"/>
        <item x="88"/>
        <item x="206"/>
        <item x="20"/>
        <item x="207"/>
        <item x="5"/>
        <item x="211"/>
        <item x="1"/>
        <item x="55"/>
        <item x="28"/>
        <item x="174"/>
        <item x="66"/>
        <item x="183"/>
        <item x="80"/>
        <item x="59"/>
        <item x="33"/>
        <item x="222"/>
        <item x="142"/>
        <item x="4"/>
        <item x="69"/>
        <item x="127"/>
        <item x="156"/>
        <item x="50"/>
        <item x="53"/>
        <item x="46"/>
        <item x="95"/>
        <item x="36"/>
        <item x="214"/>
        <item x="41"/>
        <item x="57"/>
        <item x="184"/>
        <item x="178"/>
        <item x="125"/>
        <item x="9"/>
        <item x="138"/>
        <item x="117"/>
        <item x="54"/>
        <item x="177"/>
        <item x="34"/>
        <item x="217"/>
        <item x="139"/>
        <item x="105"/>
        <item x="102"/>
        <item x="157"/>
        <item x="164"/>
        <item x="87"/>
        <item x="11"/>
        <item x="40"/>
        <item x="75"/>
        <item x="78"/>
        <item x="133"/>
        <item x="56"/>
        <item x="170"/>
        <item x="162"/>
        <item x="126"/>
        <item x="67"/>
        <item x="179"/>
        <item x="150"/>
        <item x="148"/>
        <item x="198"/>
        <item x="147"/>
        <item x="22"/>
        <item x="42"/>
        <item x="10"/>
        <item x="0"/>
        <item x="200"/>
        <item x="210"/>
        <item x="182"/>
        <item x="124"/>
        <item x="193"/>
        <item x="153"/>
        <item x="18"/>
        <item x="118"/>
        <item x="119"/>
        <item x="92"/>
        <item x="132"/>
        <item x="63"/>
        <item x="195"/>
        <item x="199"/>
        <item x="39"/>
        <item x="19"/>
        <item x="155"/>
        <item x="146"/>
        <item x="51"/>
        <item x="136"/>
        <item x="76"/>
        <item x="202"/>
        <item x="122"/>
        <item x="27"/>
        <item x="37"/>
        <item x="175"/>
        <item x="90"/>
        <item x="23"/>
        <item x="204"/>
        <item x="197"/>
        <item x="48"/>
        <item x="2"/>
        <item x="81"/>
        <item x="43"/>
        <item x="70"/>
        <item x="65"/>
        <item x="94"/>
        <item x="115"/>
        <item x="120"/>
        <item x="12"/>
        <item x="24"/>
        <item x="21"/>
        <item x="161"/>
        <item x="82"/>
        <item x="140"/>
        <item x="71"/>
        <item x="35"/>
        <item x="137"/>
        <item x="158"/>
        <item x="83"/>
        <item x="180"/>
        <item x="145"/>
        <item x="181"/>
        <item x="123"/>
        <item x="107"/>
        <item x="25"/>
        <item x="152"/>
        <item x="58"/>
        <item x="86"/>
        <item x="191"/>
        <item x="141"/>
        <item x="208"/>
        <item x="131"/>
        <item x="47"/>
        <item x="100"/>
        <item x="61"/>
        <item x="109"/>
        <item x="173"/>
        <item x="176"/>
        <item x="143"/>
        <item x="154"/>
        <item x="15"/>
        <item x="163"/>
        <item x="194"/>
        <item x="196"/>
        <item x="110"/>
        <item x="16"/>
        <item x="187"/>
        <item x="85"/>
        <item x="108"/>
        <item x="62"/>
        <item x="144"/>
        <item x="112"/>
        <item x="3"/>
        <item x="185"/>
        <item x="44"/>
        <item x="73"/>
        <item x="45"/>
        <item x="111"/>
        <item x="60"/>
        <item x="135"/>
        <item x="31"/>
        <item x="14"/>
        <item t="default"/>
      </items>
      <autoSortScope>
        <pivotArea dataOnly="0" outline="0" fieldPosition="0">
          <references count="1">
            <reference field="4294967294" count="1" selected="0">
              <x v="0"/>
            </reference>
          </references>
        </pivotArea>
      </autoSortScope>
    </pivotField>
    <pivotField showAll="0">
      <items count="11">
        <item h="1" x="5"/>
        <item h="1" x="6"/>
        <item x="7"/>
        <item h="1" x="8"/>
        <item h="1" x="1"/>
        <item h="1" x="3"/>
        <item h="1" x="2"/>
        <item h="1" x="4"/>
        <item h="1" x="0"/>
        <item h="1" x="9"/>
        <item t="default"/>
      </items>
    </pivotField>
    <pivotField showAll="0"/>
    <pivotField showAll="0"/>
    <pivotField showAll="0"/>
    <pivotField dataField="1" numFmtId="2" showAll="0"/>
    <pivotField showAll="0"/>
    <pivotField showAll="0">
      <items count="13">
        <item h="1" x="0"/>
        <item h="1" x="1"/>
        <item h="1" x="2"/>
        <item h="1" x="3"/>
        <item h="1" x="4"/>
        <item h="1" x="5"/>
        <item x="6"/>
        <item h="1" x="7"/>
        <item h="1" x="8"/>
        <item h="1" x="9"/>
        <item h="1" x="10"/>
        <item h="1" x="11"/>
        <item t="default"/>
      </items>
    </pivotField>
    <pivotField showAll="0"/>
    <pivotField showAll="0">
      <items count="3">
        <item x="1"/>
        <item x="0"/>
        <item t="default"/>
      </items>
    </pivotField>
    <pivotField showAll="0"/>
    <pivotField showAll="0"/>
  </pivotFields>
  <rowFields count="1">
    <field x="1"/>
  </rowFields>
  <rowItems count="2">
    <i>
      <x v="42"/>
    </i>
    <i t="grand">
      <x/>
    </i>
  </rowItems>
  <colFields count="1">
    <field x="-2"/>
  </colFields>
  <colItems count="2">
    <i>
      <x/>
    </i>
    <i i="1">
      <x v="1"/>
    </i>
  </colItems>
  <dataFields count="2">
    <dataField name="Sum of TotalAmount" fld="6" baseField="0" baseItem="0" numFmtId="2"/>
    <dataField name="Count of Transaction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3253B8-6E39-4F6C-98D9-C93488C45710}"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3">
    <i>
      <x v="1"/>
    </i>
    <i>
      <x/>
    </i>
    <i t="grand">
      <x/>
    </i>
  </rowItems>
  <colFields count="1">
    <field x="-2"/>
  </colFields>
  <colItems count="2">
    <i>
      <x/>
    </i>
    <i i="1">
      <x v="1"/>
    </i>
  </colItems>
  <dataFields count="2">
    <dataField name="Sum of TotalAmount" fld="1" baseField="0" baseItem="0"/>
    <dataField name="Average of TotalAmount2" fld="2"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1"/>
          </reference>
          <reference field="0" count="1" selected="0">
            <x v="1"/>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0" count="1" selected="0">
            <x v="1"/>
          </reference>
        </references>
      </pivotArea>
    </chartFormat>
    <chartFormat chart="3" format="17">
      <pivotArea type="data" outline="0" fieldPosition="0">
        <references count="2">
          <reference field="4294967294" count="1" selected="0">
            <x v="1"/>
          </reference>
          <reference field="0"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Amount2"/>
    <pivotHierarchy dragToData="1"/>
  </pivotHierarchies>
  <pivotTableStyleInfo name="PivotStyleMedium4"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_working (3)!$A$1:$M$80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DA6175-AE4A-4DE0-9BE5-077ECE7CC0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4">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14">
        <item x="0"/>
        <item x="1"/>
        <item x="2"/>
        <item x="3"/>
        <item x="4"/>
        <item x="5"/>
        <item x="6"/>
        <item x="7"/>
        <item x="8"/>
        <item x="9"/>
        <item x="10"/>
        <item x="11"/>
        <item m="1" x="12"/>
        <item t="default"/>
      </items>
      <autoSortScope>
        <pivotArea dataOnly="0" outline="0" fieldPosition="0">
          <references count="1">
            <reference field="4294967294" count="1" selected="0">
              <x v="0"/>
            </reference>
          </references>
        </pivotArea>
      </autoSortScope>
    </pivotField>
  </pivotFields>
  <rowFields count="1">
    <field x="13"/>
  </rowFields>
  <rowItems count="13">
    <i>
      <x v="6"/>
    </i>
    <i>
      <x v="10"/>
    </i>
    <i>
      <x v="8"/>
    </i>
    <i>
      <x/>
    </i>
    <i>
      <x v="2"/>
    </i>
    <i>
      <x v="5"/>
    </i>
    <i>
      <x v="4"/>
    </i>
    <i>
      <x v="11"/>
    </i>
    <i>
      <x v="7"/>
    </i>
    <i>
      <x v="9"/>
    </i>
    <i>
      <x v="3"/>
    </i>
    <i>
      <x v="1"/>
    </i>
    <i t="grand">
      <x/>
    </i>
  </rowItems>
  <colItems count="1">
    <i/>
  </colItems>
  <dataFields count="1">
    <dataField name="Sum of Total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9B6B7BF-0D5E-4BD5-991B-0D2273F82AF8}" sourceName="month">
  <pivotTables>
    <pivotTable tabId="7" name="PivotTable4"/>
    <pivotTable tabId="14" name="PivotTable11"/>
  </pivotTables>
  <data>
    <tabular pivotCacheId="786173544">
      <items count="12">
        <i x="0"/>
        <i x="1"/>
        <i x="5"/>
        <i x="6" s="1"/>
        <i x="10"/>
        <i x="11"/>
        <i x="2" nd="1"/>
        <i x="3" nd="1"/>
        <i x="4" nd="1"/>
        <i x="7" nd="1"/>
        <i x="8" nd="1"/>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ID" xr10:uid="{0B0486F6-D972-4697-93B8-63491BC88AB3}" sourceName="StoreID">
  <pivotTables>
    <pivotTable tabId="7" name="PivotTable4"/>
    <pivotTable tabId="14" name="PivotTable11"/>
  </pivotTables>
  <data>
    <tabular pivotCacheId="786173544">
      <items count="10">
        <i x="5"/>
        <i x="7" s="1"/>
        <i x="8"/>
        <i x="1"/>
        <i x="3"/>
        <i x="2"/>
        <i x="4"/>
        <i x="0"/>
        <i x="9"/>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flag" xr10:uid="{A46D040F-B459-49F4-BA11-0DDD07012511}" sourceName="promo_flag">
  <pivotTables>
    <pivotTable tabId="7" name="PivotTable4"/>
    <pivotTable tabId="14" name="PivotTable11"/>
  </pivotTables>
  <data>
    <tabular pivotCacheId="786173544">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35A7A9B-DFDE-46F7-B0A7-D527DAAFFF5C}" cache="Slicer_month" caption="month" startItem="6" rowHeight="260350"/>
  <slicer name="StoreID" xr10:uid="{682C80ED-9D77-498D-B413-9EF6902DA45C}" cache="Slicer_StoreID" caption="StoreID" startItem="2" rowHeight="260350"/>
  <slicer name="promo_flag" xr10:uid="{A28CAE94-268D-42F1-B8F5-47C25C599C00}" cache="Slicer_promo_flag" caption="promo_flag"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72418A-D0C2-422D-B497-688E0CF46A84}" name="Table2" displayName="Table2" ref="A1:N805" totalsRowShown="0" headerRowDxfId="18" dataDxfId="17" tableBorderDxfId="16">
  <autoFilter ref="A1:N805" xr:uid="{4A72418A-D0C2-422D-B497-688E0CF46A84}"/>
  <tableColumns count="14">
    <tableColumn id="1" xr3:uid="{2424CB1D-87E6-4E8F-B8E3-80A2AB8D7015}" name="TransactionID" dataDxfId="15"/>
    <tableColumn id="2" xr3:uid="{610179ED-A697-4723-86A7-D790244F71AF}" name="CustomerID" dataDxfId="14"/>
    <tableColumn id="3" xr3:uid="{1AF134F2-49DE-482F-AA3D-6700E3CD2352}" name="StoreID" dataDxfId="13"/>
    <tableColumn id="4" xr3:uid="{633D80DF-5438-4B2F-8F9D-18ACB6D07426}" name="EmployeeID" dataDxfId="12"/>
    <tableColumn id="5" xr3:uid="{77FF7B16-6654-40AF-B16C-BCDEFA724E6A}" name="PromotionID" dataDxfId="11"/>
    <tableColumn id="6" xr3:uid="{AF287A8C-B6BF-4C0A-8850-839D97E5BD4E}" name="PaymentMethod" dataDxfId="10"/>
    <tableColumn id="7" xr3:uid="{277FF510-283C-4EAC-961E-46998B2A6E4A}" name="TotalAmount" dataDxfId="9"/>
    <tableColumn id="8" xr3:uid="{2811E243-CA2F-47DC-8E89-8491D300E4C8}" name="date" dataDxfId="8"/>
    <tableColumn id="9" xr3:uid="{07984118-0B4B-471F-8C05-DFD0048F1E73}" name="month" dataDxfId="7">
      <calculatedColumnFormula>MONTH(H2)</calculatedColumnFormula>
    </tableColumn>
    <tableColumn id="10" xr3:uid="{86310791-7F98-42F2-956F-710576837F53}" name="season" dataDxfId="6">
      <calculatedColumnFormula>IF(OR(I2=10,I2=11),"Diwali",IF(I2=9,"Navratri",IF(I2=8,"Rakshabandhan",IF(I2=3,"Holi",IF(I2=1,"Makar Sankranti","Regular")))))</calculatedColumnFormula>
    </tableColumn>
    <tableColumn id="11" xr3:uid="{A981214A-2877-4F40-A100-37A09DA7DC3E}" name="promo_flag" dataDxfId="5">
      <calculatedColumnFormula xml:space="preserve"> IF(E2="No Promotion", "Not Promoted", "Promoted")</calculatedColumnFormula>
    </tableColumn>
    <tableColumn id="12" xr3:uid="{317E79FF-7FF1-4AAE-B2B5-9B3F885BD220}" name="Employee_Known_Flag" dataDxfId="4">
      <calculatedColumnFormula xml:space="preserve"> IF(D2="Unknown","Employee","Known Employee")</calculatedColumnFormula>
    </tableColumn>
    <tableColumn id="13" xr3:uid="{B68675DB-917A-40BF-A722-C6DBC134F406}" name="Cust_Visit_Count" dataDxfId="3">
      <calculatedColumnFormula>COUNTIF($B$1:$B$805, B2)</calculatedColumnFormula>
    </tableColumn>
    <tableColumn id="14" xr3:uid="{9BA12C82-591F-41A5-9960-D21D8D93978A}" name="Month name" dataDxfId="2">
      <calculatedColumnFormula>TEXT(DATE(2000, I2, 1), "mmmm")</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B88A682-AB45-400D-A8AA-2EE782FB7EB9}">
  <we:reference id="wa200005502" version="1.0.0.12" store="en-US" storeType="OMEX"/>
  <we:alternateReferences>
    <we:reference id="wa200005502" version="1.0.0.12" store="wa200005502" storeType="OMEX"/>
  </we:alternateReferences>
  <we:properties>
    <we:property name="docId" value="&quot;gzd2nCWwQXIUet6z7Fzv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1FCD1292-C72F-40ED-8397-A0DDBFB9CC2B}">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D17" sqref="D17"/>
    </sheetView>
  </sheetViews>
  <sheetFormatPr defaultRowHeight="15.6" x14ac:dyDescent="0.3"/>
  <cols>
    <col min="1" max="1" width="12.3984375" bestFit="1" customWidth="1"/>
    <col min="2" max="2" width="11.09765625" bestFit="1" customWidth="1"/>
    <col min="3" max="3" width="10.796875" bestFit="1" customWidth="1"/>
    <col min="4" max="4" width="7.69921875" bestFit="1" customWidth="1"/>
    <col min="5" max="5" width="10.796875" bestFit="1" customWidth="1"/>
    <col min="6" max="6" width="11.5" bestFit="1" customWidth="1"/>
    <col min="7" max="7" width="15.69921875" bestFit="1" customWidth="1"/>
    <col min="8" max="8" width="12"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v>535</v>
      </c>
    </row>
    <row r="3" spans="1:8" x14ac:dyDescent="0.3">
      <c r="A3" t="s">
        <v>15</v>
      </c>
      <c r="B3" t="s">
        <v>16</v>
      </c>
      <c r="C3" t="s">
        <v>17</v>
      </c>
      <c r="D3" t="s">
        <v>18</v>
      </c>
      <c r="E3" t="s">
        <v>19</v>
      </c>
      <c r="F3" t="s">
        <v>13</v>
      </c>
      <c r="G3" t="s">
        <v>14</v>
      </c>
      <c r="H3">
        <v>501</v>
      </c>
    </row>
    <row r="4" spans="1:8" x14ac:dyDescent="0.3">
      <c r="A4" t="s">
        <v>20</v>
      </c>
      <c r="B4" t="s">
        <v>21</v>
      </c>
      <c r="C4" t="s">
        <v>22</v>
      </c>
      <c r="D4" t="s">
        <v>18</v>
      </c>
      <c r="E4" t="s">
        <v>23</v>
      </c>
      <c r="F4" t="s">
        <v>24</v>
      </c>
      <c r="G4" t="s">
        <v>25</v>
      </c>
      <c r="H4">
        <v>144</v>
      </c>
    </row>
    <row r="5" spans="1:8" x14ac:dyDescent="0.3">
      <c r="A5" t="s">
        <v>26</v>
      </c>
      <c r="B5" t="s">
        <v>27</v>
      </c>
      <c r="C5" t="s">
        <v>28</v>
      </c>
      <c r="D5" t="s">
        <v>29</v>
      </c>
      <c r="E5" t="s">
        <v>30</v>
      </c>
      <c r="F5" t="s">
        <v>13</v>
      </c>
      <c r="G5" t="s">
        <v>31</v>
      </c>
      <c r="H5">
        <v>285</v>
      </c>
    </row>
    <row r="6" spans="1:8" x14ac:dyDescent="0.3">
      <c r="A6" t="s">
        <v>32</v>
      </c>
      <c r="B6" t="s">
        <v>33</v>
      </c>
      <c r="C6" t="s">
        <v>34</v>
      </c>
      <c r="D6" t="s">
        <v>35</v>
      </c>
      <c r="E6" t="s">
        <v>36</v>
      </c>
      <c r="F6" t="s">
        <v>13</v>
      </c>
      <c r="G6" t="s">
        <v>14</v>
      </c>
      <c r="H6">
        <v>364</v>
      </c>
    </row>
    <row r="7" spans="1:8" x14ac:dyDescent="0.3">
      <c r="A7" t="s">
        <v>37</v>
      </c>
      <c r="B7" t="s">
        <v>38</v>
      </c>
      <c r="C7" t="s">
        <v>39</v>
      </c>
      <c r="D7" t="s">
        <v>18</v>
      </c>
      <c r="E7" t="s">
        <v>19</v>
      </c>
      <c r="F7" t="s">
        <v>24</v>
      </c>
      <c r="G7" t="s">
        <v>40</v>
      </c>
      <c r="H7">
        <v>693</v>
      </c>
    </row>
    <row r="8" spans="1:8" x14ac:dyDescent="0.3">
      <c r="A8" t="s">
        <v>41</v>
      </c>
      <c r="B8" t="s">
        <v>42</v>
      </c>
      <c r="C8" t="s">
        <v>43</v>
      </c>
      <c r="D8" t="s">
        <v>35</v>
      </c>
      <c r="E8" t="s">
        <v>44</v>
      </c>
      <c r="F8" t="s">
        <v>13</v>
      </c>
      <c r="G8" t="s">
        <v>45</v>
      </c>
      <c r="H8">
        <v>260</v>
      </c>
    </row>
    <row r="9" spans="1:8" x14ac:dyDescent="0.3">
      <c r="A9" t="s">
        <v>46</v>
      </c>
      <c r="B9" t="s">
        <v>47</v>
      </c>
      <c r="C9" t="s">
        <v>48</v>
      </c>
      <c r="D9" t="s">
        <v>29</v>
      </c>
      <c r="E9" t="s">
        <v>49</v>
      </c>
      <c r="F9" t="s">
        <v>13</v>
      </c>
      <c r="G9" t="s">
        <v>40</v>
      </c>
      <c r="H9">
        <v>420</v>
      </c>
    </row>
    <row r="10" spans="1:8" x14ac:dyDescent="0.3">
      <c r="A10" t="s">
        <v>50</v>
      </c>
      <c r="B10" t="s">
        <v>51</v>
      </c>
      <c r="C10" t="s">
        <v>52</v>
      </c>
      <c r="D10" t="s">
        <v>53</v>
      </c>
      <c r="E10" t="s">
        <v>45</v>
      </c>
      <c r="F10" t="s">
        <v>54</v>
      </c>
      <c r="G10" t="s">
        <v>25</v>
      </c>
      <c r="H10">
        <v>357</v>
      </c>
    </row>
    <row r="11" spans="1:8" x14ac:dyDescent="0.3">
      <c r="A11" t="s">
        <v>55</v>
      </c>
      <c r="B11" t="s">
        <v>56</v>
      </c>
      <c r="C11" t="s">
        <v>57</v>
      </c>
      <c r="D11" t="s">
        <v>35</v>
      </c>
      <c r="E11" t="s">
        <v>44</v>
      </c>
      <c r="F11" t="s">
        <v>13</v>
      </c>
      <c r="G11" t="s">
        <v>14</v>
      </c>
      <c r="H11">
        <v>235</v>
      </c>
    </row>
    <row r="12" spans="1:8" x14ac:dyDescent="0.3">
      <c r="A12" t="s">
        <v>58</v>
      </c>
      <c r="B12" t="s">
        <v>59</v>
      </c>
      <c r="C12" t="s">
        <v>45</v>
      </c>
      <c r="D12" t="s">
        <v>18</v>
      </c>
      <c r="E12" t="s">
        <v>12</v>
      </c>
      <c r="F12" t="s">
        <v>13</v>
      </c>
      <c r="G12" t="s">
        <v>14</v>
      </c>
      <c r="H12">
        <v>340</v>
      </c>
    </row>
    <row r="13" spans="1:8" x14ac:dyDescent="0.3">
      <c r="A13" t="s">
        <v>58</v>
      </c>
      <c r="B13" t="s">
        <v>59</v>
      </c>
      <c r="C13" t="s">
        <v>60</v>
      </c>
      <c r="D13" t="s">
        <v>18</v>
      </c>
      <c r="E13" t="s">
        <v>12</v>
      </c>
      <c r="F13" t="s">
        <v>13</v>
      </c>
      <c r="G13" t="s">
        <v>14</v>
      </c>
      <c r="H13">
        <v>340</v>
      </c>
    </row>
    <row r="14" spans="1:8" x14ac:dyDescent="0.3">
      <c r="A14" t="s">
        <v>61</v>
      </c>
      <c r="B14" t="s">
        <v>62</v>
      </c>
      <c r="C14" t="s">
        <v>63</v>
      </c>
      <c r="D14" t="s">
        <v>29</v>
      </c>
      <c r="E14" t="s">
        <v>49</v>
      </c>
      <c r="F14" t="s">
        <v>64</v>
      </c>
      <c r="G14" t="s">
        <v>65</v>
      </c>
      <c r="H14">
        <v>305</v>
      </c>
    </row>
    <row r="15" spans="1:8" x14ac:dyDescent="0.3">
      <c r="A15" t="s">
        <v>66</v>
      </c>
      <c r="B15" t="s">
        <v>67</v>
      </c>
      <c r="C15" t="s">
        <v>68</v>
      </c>
      <c r="D15" t="s">
        <v>18</v>
      </c>
      <c r="E15" t="s">
        <v>23</v>
      </c>
      <c r="F15" t="s">
        <v>13</v>
      </c>
      <c r="G15" t="s">
        <v>14</v>
      </c>
      <c r="H15">
        <v>259</v>
      </c>
    </row>
    <row r="16" spans="1:8" x14ac:dyDescent="0.3">
      <c r="A16" t="s">
        <v>69</v>
      </c>
      <c r="B16" t="s">
        <v>70</v>
      </c>
      <c r="C16" t="s">
        <v>71</v>
      </c>
      <c r="D16" t="s">
        <v>35</v>
      </c>
      <c r="E16" t="s">
        <v>72</v>
      </c>
      <c r="F16" t="s">
        <v>54</v>
      </c>
      <c r="G16" t="s">
        <v>40</v>
      </c>
      <c r="H16">
        <v>153</v>
      </c>
    </row>
    <row r="17" spans="1:8" x14ac:dyDescent="0.3">
      <c r="A17" t="s">
        <v>73</v>
      </c>
      <c r="B17" t="s">
        <v>74</v>
      </c>
      <c r="C17" t="s">
        <v>75</v>
      </c>
      <c r="D17" t="s">
        <v>53</v>
      </c>
      <c r="E17" t="s">
        <v>76</v>
      </c>
      <c r="F17" t="s">
        <v>13</v>
      </c>
      <c r="G17" t="s">
        <v>25</v>
      </c>
      <c r="H17">
        <v>556</v>
      </c>
    </row>
    <row r="18" spans="1:8" x14ac:dyDescent="0.3">
      <c r="A18" t="s">
        <v>77</v>
      </c>
      <c r="B18" t="s">
        <v>78</v>
      </c>
      <c r="C18" t="s">
        <v>79</v>
      </c>
      <c r="D18" t="s">
        <v>18</v>
      </c>
      <c r="E18" t="s">
        <v>23</v>
      </c>
      <c r="F18" t="s">
        <v>13</v>
      </c>
      <c r="G18" t="s">
        <v>40</v>
      </c>
      <c r="H18">
        <v>220</v>
      </c>
    </row>
    <row r="19" spans="1:8" x14ac:dyDescent="0.3">
      <c r="A19" t="s">
        <v>80</v>
      </c>
      <c r="B19" t="s">
        <v>81</v>
      </c>
      <c r="C19" t="s">
        <v>82</v>
      </c>
      <c r="D19" t="s">
        <v>53</v>
      </c>
      <c r="E19" t="s">
        <v>83</v>
      </c>
      <c r="F19" t="s">
        <v>13</v>
      </c>
      <c r="G19" t="s">
        <v>25</v>
      </c>
      <c r="H19">
        <v>245</v>
      </c>
    </row>
    <row r="20" spans="1:8" x14ac:dyDescent="0.3">
      <c r="A20" t="s">
        <v>84</v>
      </c>
      <c r="B20" t="s">
        <v>85</v>
      </c>
      <c r="C20" t="s">
        <v>86</v>
      </c>
      <c r="D20" t="s">
        <v>18</v>
      </c>
      <c r="E20" t="s">
        <v>87</v>
      </c>
      <c r="F20" t="s">
        <v>13</v>
      </c>
      <c r="G20" t="s">
        <v>45</v>
      </c>
      <c r="H20">
        <v>340</v>
      </c>
    </row>
    <row r="21" spans="1:8" x14ac:dyDescent="0.3">
      <c r="A21" t="s">
        <v>88</v>
      </c>
      <c r="B21" t="s">
        <v>89</v>
      </c>
      <c r="C21" t="s">
        <v>90</v>
      </c>
      <c r="D21" t="s">
        <v>18</v>
      </c>
      <c r="E21" t="s">
        <v>87</v>
      </c>
      <c r="F21" t="s">
        <v>13</v>
      </c>
      <c r="G21" t="s">
        <v>25</v>
      </c>
      <c r="H21">
        <v>201</v>
      </c>
    </row>
    <row r="22" spans="1:8" x14ac:dyDescent="0.3">
      <c r="A22" t="s">
        <v>88</v>
      </c>
      <c r="B22" t="s">
        <v>89</v>
      </c>
      <c r="C22" t="s">
        <v>90</v>
      </c>
      <c r="D22" t="s">
        <v>18</v>
      </c>
      <c r="E22" t="s">
        <v>87</v>
      </c>
      <c r="F22" t="s">
        <v>13</v>
      </c>
      <c r="G22" t="s">
        <v>25</v>
      </c>
      <c r="H22">
        <v>201</v>
      </c>
    </row>
    <row r="23" spans="1:8" x14ac:dyDescent="0.3">
      <c r="A23" t="s">
        <v>91</v>
      </c>
      <c r="B23" t="s">
        <v>92</v>
      </c>
      <c r="C23" t="s">
        <v>93</v>
      </c>
      <c r="D23" t="s">
        <v>35</v>
      </c>
      <c r="E23" t="s">
        <v>44</v>
      </c>
      <c r="F23" t="s">
        <v>24</v>
      </c>
      <c r="G23" t="s">
        <v>25</v>
      </c>
      <c r="H23">
        <v>49.5</v>
      </c>
    </row>
    <row r="24" spans="1:8" x14ac:dyDescent="0.3">
      <c r="A24" t="s">
        <v>94</v>
      </c>
      <c r="B24" t="s">
        <v>45</v>
      </c>
      <c r="C24" t="s">
        <v>95</v>
      </c>
      <c r="D24" t="s">
        <v>18</v>
      </c>
      <c r="E24" t="s">
        <v>19</v>
      </c>
      <c r="F24" t="s">
        <v>24</v>
      </c>
      <c r="G24" t="s">
        <v>14</v>
      </c>
      <c r="H24">
        <v>407.7</v>
      </c>
    </row>
    <row r="25" spans="1:8" x14ac:dyDescent="0.3">
      <c r="A25" t="s">
        <v>96</v>
      </c>
      <c r="B25" t="s">
        <v>97</v>
      </c>
      <c r="C25" t="s">
        <v>98</v>
      </c>
      <c r="D25" t="s">
        <v>53</v>
      </c>
      <c r="E25" t="s">
        <v>83</v>
      </c>
      <c r="F25" t="s">
        <v>13</v>
      </c>
      <c r="G25" t="s">
        <v>25</v>
      </c>
      <c r="H25">
        <v>255</v>
      </c>
    </row>
    <row r="26" spans="1:8" x14ac:dyDescent="0.3">
      <c r="A26" t="s">
        <v>99</v>
      </c>
      <c r="B26" t="s">
        <v>100</v>
      </c>
      <c r="C26" t="s">
        <v>48</v>
      </c>
      <c r="D26" t="s">
        <v>53</v>
      </c>
      <c r="E26" t="s">
        <v>31</v>
      </c>
      <c r="F26" t="s">
        <v>13</v>
      </c>
      <c r="G26" t="s">
        <v>45</v>
      </c>
      <c r="H26">
        <v>620</v>
      </c>
    </row>
    <row r="27" spans="1:8" x14ac:dyDescent="0.3">
      <c r="A27" t="s">
        <v>101</v>
      </c>
      <c r="B27" t="s">
        <v>102</v>
      </c>
      <c r="C27" t="s">
        <v>103</v>
      </c>
      <c r="D27" t="s">
        <v>53</v>
      </c>
      <c r="E27" t="s">
        <v>104</v>
      </c>
      <c r="F27" t="s">
        <v>64</v>
      </c>
      <c r="G27" t="s">
        <v>14</v>
      </c>
      <c r="H27">
        <v>645</v>
      </c>
    </row>
    <row r="28" spans="1:8" x14ac:dyDescent="0.3">
      <c r="A28" t="s">
        <v>105</v>
      </c>
      <c r="B28" t="s">
        <v>106</v>
      </c>
      <c r="C28" t="s">
        <v>107</v>
      </c>
      <c r="D28" t="s">
        <v>35</v>
      </c>
      <c r="E28" t="s">
        <v>108</v>
      </c>
      <c r="F28" t="s">
        <v>24</v>
      </c>
      <c r="G28" t="s">
        <v>14</v>
      </c>
      <c r="H28">
        <v>156.6</v>
      </c>
    </row>
    <row r="29" spans="1:8" x14ac:dyDescent="0.3">
      <c r="A29" t="s">
        <v>109</v>
      </c>
      <c r="B29" t="s">
        <v>110</v>
      </c>
      <c r="C29" t="s">
        <v>111</v>
      </c>
      <c r="D29" t="s">
        <v>18</v>
      </c>
      <c r="E29" t="s">
        <v>12</v>
      </c>
      <c r="F29" t="s">
        <v>13</v>
      </c>
      <c r="G29" t="s">
        <v>40</v>
      </c>
      <c r="H29" t="s">
        <v>45</v>
      </c>
    </row>
    <row r="30" spans="1:8" x14ac:dyDescent="0.3">
      <c r="A30" t="s">
        <v>112</v>
      </c>
      <c r="B30" t="s">
        <v>113</v>
      </c>
      <c r="C30" t="s">
        <v>114</v>
      </c>
      <c r="D30" t="s">
        <v>18</v>
      </c>
      <c r="E30" t="s">
        <v>87</v>
      </c>
      <c r="F30" t="s">
        <v>13</v>
      </c>
      <c r="G30" t="s">
        <v>14</v>
      </c>
      <c r="H30">
        <v>351</v>
      </c>
    </row>
    <row r="31" spans="1:8" x14ac:dyDescent="0.3">
      <c r="A31" t="s">
        <v>115</v>
      </c>
      <c r="B31" t="s">
        <v>116</v>
      </c>
      <c r="C31" t="s">
        <v>117</v>
      </c>
      <c r="D31" t="s">
        <v>53</v>
      </c>
      <c r="E31" t="s">
        <v>118</v>
      </c>
      <c r="F31" t="s">
        <v>24</v>
      </c>
      <c r="G31" t="s">
        <v>119</v>
      </c>
      <c r="H31">
        <v>318.60000000000002</v>
      </c>
    </row>
    <row r="32" spans="1:8" x14ac:dyDescent="0.3">
      <c r="A32" t="s">
        <v>120</v>
      </c>
      <c r="B32" t="s">
        <v>121</v>
      </c>
      <c r="C32" t="s">
        <v>122</v>
      </c>
      <c r="D32" t="s">
        <v>29</v>
      </c>
      <c r="E32" t="s">
        <v>123</v>
      </c>
      <c r="F32" t="s">
        <v>13</v>
      </c>
      <c r="G32" t="s">
        <v>25</v>
      </c>
      <c r="H32">
        <v>651</v>
      </c>
    </row>
    <row r="33" spans="1:8" x14ac:dyDescent="0.3">
      <c r="A33" t="s">
        <v>124</v>
      </c>
      <c r="B33" t="s">
        <v>125</v>
      </c>
      <c r="C33" t="s">
        <v>126</v>
      </c>
      <c r="D33" t="s">
        <v>35</v>
      </c>
      <c r="E33" t="s">
        <v>36</v>
      </c>
      <c r="F33" t="s">
        <v>31</v>
      </c>
      <c r="G33" t="s">
        <v>25</v>
      </c>
      <c r="H33">
        <v>355</v>
      </c>
    </row>
    <row r="34" spans="1:8" x14ac:dyDescent="0.3">
      <c r="A34" t="s">
        <v>127</v>
      </c>
      <c r="B34" t="s">
        <v>31</v>
      </c>
      <c r="C34" t="s">
        <v>128</v>
      </c>
      <c r="D34" t="s">
        <v>18</v>
      </c>
      <c r="E34" t="s">
        <v>19</v>
      </c>
      <c r="F34" t="s">
        <v>13</v>
      </c>
      <c r="G34" t="s">
        <v>40</v>
      </c>
      <c r="H34">
        <v>210</v>
      </c>
    </row>
    <row r="35" spans="1:8" x14ac:dyDescent="0.3">
      <c r="A35" t="s">
        <v>129</v>
      </c>
      <c r="B35" t="s">
        <v>130</v>
      </c>
      <c r="C35" t="s">
        <v>131</v>
      </c>
      <c r="D35" t="s">
        <v>18</v>
      </c>
      <c r="E35" t="s">
        <v>23</v>
      </c>
      <c r="F35" t="s">
        <v>13</v>
      </c>
      <c r="G35" t="s">
        <v>65</v>
      </c>
      <c r="H35">
        <v>355</v>
      </c>
    </row>
    <row r="36" spans="1:8" x14ac:dyDescent="0.3">
      <c r="A36" t="s">
        <v>132</v>
      </c>
      <c r="B36" t="s">
        <v>133</v>
      </c>
      <c r="C36" t="s">
        <v>134</v>
      </c>
      <c r="D36" t="s">
        <v>53</v>
      </c>
      <c r="E36" t="s">
        <v>104</v>
      </c>
      <c r="F36" t="s">
        <v>13</v>
      </c>
      <c r="G36" t="s">
        <v>65</v>
      </c>
      <c r="H36">
        <v>183</v>
      </c>
    </row>
    <row r="37" spans="1:8" x14ac:dyDescent="0.3">
      <c r="A37" t="s">
        <v>135</v>
      </c>
      <c r="B37" t="s">
        <v>136</v>
      </c>
      <c r="C37" t="s">
        <v>137</v>
      </c>
      <c r="D37" t="s">
        <v>53</v>
      </c>
      <c r="E37" t="s">
        <v>138</v>
      </c>
      <c r="F37" t="s">
        <v>13</v>
      </c>
      <c r="G37" t="s">
        <v>65</v>
      </c>
      <c r="H37">
        <v>318</v>
      </c>
    </row>
    <row r="38" spans="1:8" x14ac:dyDescent="0.3">
      <c r="A38" t="s">
        <v>139</v>
      </c>
      <c r="B38" t="s">
        <v>45</v>
      </c>
      <c r="C38" t="s">
        <v>122</v>
      </c>
      <c r="D38" t="s">
        <v>35</v>
      </c>
      <c r="E38" t="s">
        <v>140</v>
      </c>
      <c r="F38" t="s">
        <v>13</v>
      </c>
      <c r="G38" t="s">
        <v>25</v>
      </c>
      <c r="H38">
        <v>375</v>
      </c>
    </row>
    <row r="39" spans="1:8" x14ac:dyDescent="0.3">
      <c r="A39" t="s">
        <v>141</v>
      </c>
      <c r="B39" t="s">
        <v>142</v>
      </c>
      <c r="C39" t="s">
        <v>143</v>
      </c>
      <c r="D39" t="s">
        <v>29</v>
      </c>
      <c r="E39" t="s">
        <v>123</v>
      </c>
      <c r="F39" t="s">
        <v>13</v>
      </c>
      <c r="G39" t="s">
        <v>144</v>
      </c>
      <c r="H39">
        <v>195</v>
      </c>
    </row>
    <row r="40" spans="1:8" x14ac:dyDescent="0.3">
      <c r="A40" t="s">
        <v>141</v>
      </c>
      <c r="B40" t="s">
        <v>142</v>
      </c>
      <c r="C40" t="s">
        <v>143</v>
      </c>
      <c r="D40" t="s">
        <v>29</v>
      </c>
      <c r="E40" t="s">
        <v>123</v>
      </c>
      <c r="F40" t="s">
        <v>13</v>
      </c>
      <c r="G40" t="s">
        <v>25</v>
      </c>
      <c r="H40">
        <v>195</v>
      </c>
    </row>
    <row r="41" spans="1:8" x14ac:dyDescent="0.3">
      <c r="A41" t="s">
        <v>145</v>
      </c>
      <c r="B41" t="s">
        <v>146</v>
      </c>
      <c r="C41" t="s">
        <v>147</v>
      </c>
      <c r="D41" t="s">
        <v>29</v>
      </c>
      <c r="E41" t="s">
        <v>49</v>
      </c>
      <c r="F41" t="s">
        <v>13</v>
      </c>
      <c r="G41" t="s">
        <v>14</v>
      </c>
      <c r="H41">
        <v>195</v>
      </c>
    </row>
    <row r="42" spans="1:8" x14ac:dyDescent="0.3">
      <c r="A42" t="s">
        <v>148</v>
      </c>
      <c r="B42" t="s">
        <v>149</v>
      </c>
      <c r="C42" t="s">
        <v>71</v>
      </c>
      <c r="D42" t="s">
        <v>53</v>
      </c>
      <c r="E42" t="s">
        <v>76</v>
      </c>
      <c r="F42" t="s">
        <v>13</v>
      </c>
      <c r="G42" t="s">
        <v>144</v>
      </c>
      <c r="H42">
        <v>136</v>
      </c>
    </row>
    <row r="43" spans="1:8" x14ac:dyDescent="0.3">
      <c r="A43" t="s">
        <v>150</v>
      </c>
      <c r="B43" t="s">
        <v>151</v>
      </c>
      <c r="C43" t="s">
        <v>152</v>
      </c>
      <c r="D43" t="s">
        <v>53</v>
      </c>
      <c r="E43" t="s">
        <v>31</v>
      </c>
      <c r="F43" t="s">
        <v>13</v>
      </c>
      <c r="G43" t="s">
        <v>40</v>
      </c>
      <c r="H43" t="s">
        <v>45</v>
      </c>
    </row>
    <row r="44" spans="1:8" x14ac:dyDescent="0.3">
      <c r="A44" t="s">
        <v>153</v>
      </c>
      <c r="B44" t="s">
        <v>154</v>
      </c>
      <c r="C44" t="s">
        <v>155</v>
      </c>
      <c r="D44" t="s">
        <v>18</v>
      </c>
      <c r="E44" t="s">
        <v>23</v>
      </c>
      <c r="F44" t="s">
        <v>13</v>
      </c>
      <c r="G44" t="s">
        <v>65</v>
      </c>
      <c r="H44">
        <v>484</v>
      </c>
    </row>
    <row r="45" spans="1:8" x14ac:dyDescent="0.3">
      <c r="A45" t="s">
        <v>45</v>
      </c>
      <c r="B45" t="s">
        <v>156</v>
      </c>
      <c r="C45" t="s">
        <v>45</v>
      </c>
      <c r="D45" t="s">
        <v>157</v>
      </c>
      <c r="E45" t="s">
        <v>83</v>
      </c>
      <c r="F45" t="s">
        <v>158</v>
      </c>
      <c r="G45" t="s">
        <v>14</v>
      </c>
      <c r="H45">
        <v>318.25</v>
      </c>
    </row>
    <row r="46" spans="1:8" x14ac:dyDescent="0.3">
      <c r="A46" t="s">
        <v>159</v>
      </c>
      <c r="B46" t="s">
        <v>160</v>
      </c>
      <c r="C46" t="s">
        <v>161</v>
      </c>
      <c r="D46" t="s">
        <v>35</v>
      </c>
      <c r="E46" t="s">
        <v>44</v>
      </c>
      <c r="F46" t="s">
        <v>54</v>
      </c>
      <c r="G46" t="s">
        <v>25</v>
      </c>
      <c r="H46">
        <v>334.9</v>
      </c>
    </row>
    <row r="47" spans="1:8" x14ac:dyDescent="0.3">
      <c r="A47" t="s">
        <v>162</v>
      </c>
      <c r="B47" t="s">
        <v>163</v>
      </c>
      <c r="C47" t="s">
        <v>164</v>
      </c>
      <c r="D47" t="s">
        <v>18</v>
      </c>
      <c r="E47" t="s">
        <v>12</v>
      </c>
      <c r="F47" t="s">
        <v>54</v>
      </c>
      <c r="G47" t="s">
        <v>40</v>
      </c>
      <c r="H47">
        <v>72.25</v>
      </c>
    </row>
    <row r="48" spans="1:8" x14ac:dyDescent="0.3">
      <c r="A48" t="s">
        <v>165</v>
      </c>
      <c r="B48" t="s">
        <v>166</v>
      </c>
      <c r="C48" t="s">
        <v>167</v>
      </c>
      <c r="D48" t="s">
        <v>29</v>
      </c>
      <c r="E48" t="s">
        <v>168</v>
      </c>
      <c r="F48" t="s">
        <v>54</v>
      </c>
      <c r="G48" t="s">
        <v>45</v>
      </c>
      <c r="H48">
        <v>127.5</v>
      </c>
    </row>
    <row r="49" spans="1:8" x14ac:dyDescent="0.3">
      <c r="A49" t="s">
        <v>169</v>
      </c>
      <c r="B49" t="s">
        <v>170</v>
      </c>
      <c r="C49" t="s">
        <v>171</v>
      </c>
      <c r="D49" t="s">
        <v>53</v>
      </c>
      <c r="E49" t="s">
        <v>83</v>
      </c>
      <c r="F49" t="s">
        <v>13</v>
      </c>
      <c r="G49" t="s">
        <v>65</v>
      </c>
      <c r="H49">
        <v>100</v>
      </c>
    </row>
    <row r="50" spans="1:8" x14ac:dyDescent="0.3">
      <c r="A50" t="s">
        <v>172</v>
      </c>
      <c r="B50" t="s">
        <v>173</v>
      </c>
      <c r="C50" t="s">
        <v>174</v>
      </c>
      <c r="D50" t="s">
        <v>35</v>
      </c>
      <c r="E50" t="s">
        <v>31</v>
      </c>
      <c r="F50" t="s">
        <v>13</v>
      </c>
      <c r="G50" t="s">
        <v>65</v>
      </c>
      <c r="H50">
        <v>615</v>
      </c>
    </row>
    <row r="51" spans="1:8" x14ac:dyDescent="0.3">
      <c r="A51" t="s">
        <v>175</v>
      </c>
      <c r="B51" t="s">
        <v>176</v>
      </c>
      <c r="C51" t="s">
        <v>177</v>
      </c>
      <c r="D51" t="s">
        <v>18</v>
      </c>
      <c r="E51" t="s">
        <v>23</v>
      </c>
      <c r="F51" t="s">
        <v>24</v>
      </c>
      <c r="G51" t="s">
        <v>65</v>
      </c>
      <c r="H51">
        <v>72</v>
      </c>
    </row>
    <row r="52" spans="1:8" x14ac:dyDescent="0.3">
      <c r="A52" t="s">
        <v>178</v>
      </c>
      <c r="B52" t="s">
        <v>179</v>
      </c>
      <c r="C52" t="s">
        <v>180</v>
      </c>
      <c r="D52" t="s">
        <v>29</v>
      </c>
      <c r="E52" t="s">
        <v>123</v>
      </c>
      <c r="F52" t="s">
        <v>13</v>
      </c>
      <c r="G52" t="s">
        <v>14</v>
      </c>
      <c r="H52">
        <v>579</v>
      </c>
    </row>
    <row r="53" spans="1:8" x14ac:dyDescent="0.3">
      <c r="A53" t="s">
        <v>181</v>
      </c>
      <c r="B53" t="s">
        <v>182</v>
      </c>
      <c r="C53" t="s">
        <v>183</v>
      </c>
      <c r="D53" t="s">
        <v>53</v>
      </c>
      <c r="E53" t="s">
        <v>138</v>
      </c>
      <c r="F53" t="s">
        <v>13</v>
      </c>
      <c r="G53" t="s">
        <v>25</v>
      </c>
      <c r="H53">
        <v>210</v>
      </c>
    </row>
    <row r="54" spans="1:8" x14ac:dyDescent="0.3">
      <c r="A54" t="s">
        <v>184</v>
      </c>
      <c r="B54" t="s">
        <v>185</v>
      </c>
      <c r="C54" t="s">
        <v>186</v>
      </c>
      <c r="D54" t="s">
        <v>29</v>
      </c>
      <c r="E54" t="s">
        <v>123</v>
      </c>
      <c r="F54" t="s">
        <v>158</v>
      </c>
      <c r="G54" t="s">
        <v>25</v>
      </c>
      <c r="H54" t="s">
        <v>45</v>
      </c>
    </row>
    <row r="55" spans="1:8" x14ac:dyDescent="0.3">
      <c r="A55" t="s">
        <v>45</v>
      </c>
      <c r="B55" t="s">
        <v>187</v>
      </c>
      <c r="C55" t="s">
        <v>188</v>
      </c>
      <c r="D55" t="s">
        <v>29</v>
      </c>
      <c r="E55" t="s">
        <v>31</v>
      </c>
      <c r="F55" t="s">
        <v>13</v>
      </c>
      <c r="G55" t="s">
        <v>14</v>
      </c>
      <c r="H55">
        <v>660</v>
      </c>
    </row>
    <row r="56" spans="1:8" x14ac:dyDescent="0.3">
      <c r="A56" t="s">
        <v>189</v>
      </c>
      <c r="B56" t="s">
        <v>190</v>
      </c>
      <c r="C56" t="s">
        <v>191</v>
      </c>
      <c r="D56" t="s">
        <v>29</v>
      </c>
      <c r="E56" t="s">
        <v>168</v>
      </c>
      <c r="F56" t="s">
        <v>13</v>
      </c>
      <c r="G56" t="s">
        <v>65</v>
      </c>
      <c r="H56">
        <v>70</v>
      </c>
    </row>
    <row r="57" spans="1:8" x14ac:dyDescent="0.3">
      <c r="A57" t="s">
        <v>192</v>
      </c>
      <c r="B57" t="s">
        <v>193</v>
      </c>
      <c r="C57" t="s">
        <v>39</v>
      </c>
      <c r="D57" t="s">
        <v>29</v>
      </c>
      <c r="E57" t="s">
        <v>49</v>
      </c>
      <c r="F57" t="s">
        <v>45</v>
      </c>
      <c r="G57" t="s">
        <v>40</v>
      </c>
      <c r="H57">
        <v>465</v>
      </c>
    </row>
    <row r="58" spans="1:8" x14ac:dyDescent="0.3">
      <c r="A58" t="s">
        <v>194</v>
      </c>
      <c r="B58" t="s">
        <v>195</v>
      </c>
      <c r="C58" t="s">
        <v>196</v>
      </c>
      <c r="D58" t="s">
        <v>53</v>
      </c>
      <c r="E58" t="s">
        <v>76</v>
      </c>
      <c r="F58" t="s">
        <v>13</v>
      </c>
      <c r="G58" t="s">
        <v>119</v>
      </c>
      <c r="H58">
        <v>675</v>
      </c>
    </row>
    <row r="59" spans="1:8" x14ac:dyDescent="0.3">
      <c r="A59" t="s">
        <v>197</v>
      </c>
      <c r="B59" t="s">
        <v>198</v>
      </c>
      <c r="C59" t="s">
        <v>199</v>
      </c>
      <c r="D59" t="s">
        <v>29</v>
      </c>
      <c r="E59" t="s">
        <v>200</v>
      </c>
      <c r="F59" t="s">
        <v>13</v>
      </c>
      <c r="G59" t="s">
        <v>14</v>
      </c>
      <c r="H59">
        <v>465</v>
      </c>
    </row>
    <row r="60" spans="1:8" x14ac:dyDescent="0.3">
      <c r="A60" t="s">
        <v>201</v>
      </c>
      <c r="B60" t="s">
        <v>202</v>
      </c>
      <c r="C60" t="s">
        <v>203</v>
      </c>
      <c r="D60" t="s">
        <v>29</v>
      </c>
      <c r="E60" t="s">
        <v>123</v>
      </c>
      <c r="F60" t="s">
        <v>158</v>
      </c>
      <c r="G60" t="s">
        <v>40</v>
      </c>
      <c r="H60">
        <v>457.9</v>
      </c>
    </row>
    <row r="61" spans="1:8" x14ac:dyDescent="0.3">
      <c r="A61" t="s">
        <v>204</v>
      </c>
      <c r="B61" t="s">
        <v>205</v>
      </c>
      <c r="C61" t="s">
        <v>45</v>
      </c>
      <c r="D61" t="s">
        <v>53</v>
      </c>
      <c r="E61" t="s">
        <v>104</v>
      </c>
      <c r="F61" t="s">
        <v>13</v>
      </c>
      <c r="G61" t="s">
        <v>40</v>
      </c>
      <c r="H61">
        <v>350</v>
      </c>
    </row>
    <row r="62" spans="1:8" x14ac:dyDescent="0.3">
      <c r="A62" t="s">
        <v>206</v>
      </c>
      <c r="B62" t="s">
        <v>207</v>
      </c>
      <c r="C62" t="s">
        <v>98</v>
      </c>
      <c r="D62" t="s">
        <v>53</v>
      </c>
      <c r="E62" t="s">
        <v>83</v>
      </c>
      <c r="F62" t="s">
        <v>24</v>
      </c>
      <c r="G62" t="s">
        <v>25</v>
      </c>
      <c r="H62">
        <v>288</v>
      </c>
    </row>
    <row r="63" spans="1:8" x14ac:dyDescent="0.3">
      <c r="A63" t="s">
        <v>206</v>
      </c>
      <c r="B63" t="s">
        <v>207</v>
      </c>
      <c r="C63" t="s">
        <v>98</v>
      </c>
      <c r="D63" t="s">
        <v>53</v>
      </c>
      <c r="E63" t="s">
        <v>83</v>
      </c>
      <c r="F63" t="s">
        <v>24</v>
      </c>
      <c r="G63" t="s">
        <v>25</v>
      </c>
      <c r="H63">
        <v>288</v>
      </c>
    </row>
    <row r="64" spans="1:8" x14ac:dyDescent="0.3">
      <c r="A64" t="s">
        <v>208</v>
      </c>
      <c r="B64" t="s">
        <v>209</v>
      </c>
      <c r="C64" t="s">
        <v>210</v>
      </c>
      <c r="D64" t="s">
        <v>35</v>
      </c>
      <c r="E64" t="s">
        <v>140</v>
      </c>
      <c r="F64" t="s">
        <v>13</v>
      </c>
      <c r="G64" t="s">
        <v>14</v>
      </c>
      <c r="H64" t="s">
        <v>45</v>
      </c>
    </row>
    <row r="65" spans="1:8" x14ac:dyDescent="0.3">
      <c r="A65" t="s">
        <v>211</v>
      </c>
      <c r="B65" t="s">
        <v>212</v>
      </c>
      <c r="C65" t="s">
        <v>213</v>
      </c>
      <c r="D65" t="s">
        <v>29</v>
      </c>
      <c r="E65" t="s">
        <v>200</v>
      </c>
      <c r="F65" t="s">
        <v>158</v>
      </c>
      <c r="G65" t="s">
        <v>40</v>
      </c>
      <c r="H65">
        <v>209</v>
      </c>
    </row>
    <row r="66" spans="1:8" x14ac:dyDescent="0.3">
      <c r="A66" t="s">
        <v>214</v>
      </c>
      <c r="B66" t="s">
        <v>215</v>
      </c>
      <c r="C66" t="s">
        <v>216</v>
      </c>
      <c r="D66" t="s">
        <v>35</v>
      </c>
      <c r="E66" t="s">
        <v>36</v>
      </c>
      <c r="F66" t="s">
        <v>13</v>
      </c>
      <c r="G66" t="s">
        <v>65</v>
      </c>
      <c r="H66">
        <v>266</v>
      </c>
    </row>
    <row r="67" spans="1:8" x14ac:dyDescent="0.3">
      <c r="A67" t="s">
        <v>217</v>
      </c>
      <c r="B67" t="s">
        <v>218</v>
      </c>
      <c r="C67" t="s">
        <v>219</v>
      </c>
      <c r="D67" t="s">
        <v>29</v>
      </c>
      <c r="E67" t="s">
        <v>30</v>
      </c>
      <c r="F67" t="s">
        <v>13</v>
      </c>
      <c r="G67" t="s">
        <v>14</v>
      </c>
      <c r="H67">
        <v>370</v>
      </c>
    </row>
    <row r="68" spans="1:8" x14ac:dyDescent="0.3">
      <c r="A68" t="s">
        <v>220</v>
      </c>
      <c r="B68" t="s">
        <v>221</v>
      </c>
      <c r="C68" t="s">
        <v>79</v>
      </c>
      <c r="D68" t="s">
        <v>35</v>
      </c>
      <c r="E68" t="s">
        <v>72</v>
      </c>
      <c r="F68" t="s">
        <v>64</v>
      </c>
      <c r="G68" t="s">
        <v>25</v>
      </c>
      <c r="H68">
        <v>562</v>
      </c>
    </row>
    <row r="69" spans="1:8" x14ac:dyDescent="0.3">
      <c r="A69" t="s">
        <v>222</v>
      </c>
      <c r="B69" t="s">
        <v>223</v>
      </c>
      <c r="C69" t="s">
        <v>224</v>
      </c>
      <c r="D69" t="s">
        <v>45</v>
      </c>
      <c r="E69" t="s">
        <v>140</v>
      </c>
      <c r="F69" t="s">
        <v>13</v>
      </c>
      <c r="G69" t="s">
        <v>25</v>
      </c>
      <c r="H69">
        <v>391</v>
      </c>
    </row>
    <row r="70" spans="1:8" x14ac:dyDescent="0.3">
      <c r="A70" t="s">
        <v>225</v>
      </c>
      <c r="B70" t="s">
        <v>226</v>
      </c>
      <c r="C70" t="s">
        <v>227</v>
      </c>
      <c r="D70" t="s">
        <v>35</v>
      </c>
      <c r="E70" t="s">
        <v>36</v>
      </c>
      <c r="F70" t="s">
        <v>13</v>
      </c>
      <c r="G70" t="s">
        <v>65</v>
      </c>
      <c r="H70">
        <v>641</v>
      </c>
    </row>
    <row r="71" spans="1:8" x14ac:dyDescent="0.3">
      <c r="A71" t="s">
        <v>228</v>
      </c>
      <c r="B71" t="s">
        <v>229</v>
      </c>
      <c r="C71" t="s">
        <v>230</v>
      </c>
      <c r="D71" t="s">
        <v>18</v>
      </c>
      <c r="E71" t="s">
        <v>231</v>
      </c>
      <c r="F71" t="s">
        <v>13</v>
      </c>
      <c r="G71" t="s">
        <v>14</v>
      </c>
      <c r="H71">
        <v>610</v>
      </c>
    </row>
    <row r="72" spans="1:8" x14ac:dyDescent="0.3">
      <c r="A72" t="s">
        <v>232</v>
      </c>
      <c r="B72" t="s">
        <v>142</v>
      </c>
      <c r="C72" t="s">
        <v>233</v>
      </c>
      <c r="D72" t="s">
        <v>18</v>
      </c>
      <c r="E72" t="s">
        <v>87</v>
      </c>
      <c r="F72" t="s">
        <v>13</v>
      </c>
      <c r="G72" t="s">
        <v>65</v>
      </c>
      <c r="H72">
        <v>478</v>
      </c>
    </row>
    <row r="73" spans="1:8" x14ac:dyDescent="0.3">
      <c r="A73" t="s">
        <v>234</v>
      </c>
      <c r="B73" t="s">
        <v>235</v>
      </c>
      <c r="C73" t="s">
        <v>90</v>
      </c>
      <c r="D73" t="s">
        <v>18</v>
      </c>
      <c r="E73" t="s">
        <v>12</v>
      </c>
      <c r="F73" t="s">
        <v>54</v>
      </c>
      <c r="G73" t="s">
        <v>14</v>
      </c>
      <c r="H73">
        <v>267.75</v>
      </c>
    </row>
    <row r="74" spans="1:8" x14ac:dyDescent="0.3">
      <c r="A74" t="s">
        <v>236</v>
      </c>
      <c r="B74" t="s">
        <v>237</v>
      </c>
      <c r="C74" t="s">
        <v>238</v>
      </c>
      <c r="D74" t="s">
        <v>53</v>
      </c>
      <c r="E74" t="s">
        <v>104</v>
      </c>
      <c r="F74" t="s">
        <v>13</v>
      </c>
      <c r="G74" t="s">
        <v>65</v>
      </c>
      <c r="H74">
        <v>170</v>
      </c>
    </row>
    <row r="75" spans="1:8" x14ac:dyDescent="0.3">
      <c r="A75" t="s">
        <v>239</v>
      </c>
      <c r="B75" t="s">
        <v>240</v>
      </c>
      <c r="C75" t="s">
        <v>241</v>
      </c>
      <c r="D75" t="s">
        <v>35</v>
      </c>
      <c r="E75" t="s">
        <v>44</v>
      </c>
      <c r="F75" t="s">
        <v>13</v>
      </c>
      <c r="G75" t="s">
        <v>65</v>
      </c>
      <c r="H75">
        <v>300</v>
      </c>
    </row>
    <row r="76" spans="1:8" x14ac:dyDescent="0.3">
      <c r="A76" t="s">
        <v>239</v>
      </c>
      <c r="B76" t="s">
        <v>240</v>
      </c>
      <c r="C76" t="s">
        <v>242</v>
      </c>
      <c r="D76" t="s">
        <v>35</v>
      </c>
      <c r="E76" t="s">
        <v>44</v>
      </c>
      <c r="F76" t="s">
        <v>13</v>
      </c>
      <c r="G76" t="s">
        <v>65</v>
      </c>
      <c r="H76">
        <v>300</v>
      </c>
    </row>
    <row r="77" spans="1:8" x14ac:dyDescent="0.3">
      <c r="A77" t="s">
        <v>243</v>
      </c>
      <c r="B77" t="s">
        <v>244</v>
      </c>
      <c r="C77" t="s">
        <v>245</v>
      </c>
      <c r="D77" t="s">
        <v>246</v>
      </c>
      <c r="E77" t="s">
        <v>31</v>
      </c>
      <c r="F77" t="s">
        <v>13</v>
      </c>
      <c r="G77" t="s">
        <v>14</v>
      </c>
      <c r="H77">
        <v>341</v>
      </c>
    </row>
    <row r="78" spans="1:8" x14ac:dyDescent="0.3">
      <c r="A78" t="s">
        <v>247</v>
      </c>
      <c r="B78" t="s">
        <v>248</v>
      </c>
      <c r="C78" t="s">
        <v>249</v>
      </c>
      <c r="D78" t="s">
        <v>53</v>
      </c>
      <c r="E78" t="s">
        <v>118</v>
      </c>
      <c r="F78" t="s">
        <v>13</v>
      </c>
      <c r="G78" t="s">
        <v>14</v>
      </c>
      <c r="H78">
        <v>180</v>
      </c>
    </row>
    <row r="79" spans="1:8" x14ac:dyDescent="0.3">
      <c r="A79" t="s">
        <v>250</v>
      </c>
      <c r="B79" t="s">
        <v>251</v>
      </c>
      <c r="C79" t="s">
        <v>252</v>
      </c>
      <c r="D79" t="s">
        <v>53</v>
      </c>
      <c r="E79" t="s">
        <v>118</v>
      </c>
      <c r="F79" t="s">
        <v>13</v>
      </c>
      <c r="G79" t="s">
        <v>14</v>
      </c>
      <c r="H79">
        <v>465</v>
      </c>
    </row>
    <row r="80" spans="1:8" x14ac:dyDescent="0.3">
      <c r="A80" t="s">
        <v>253</v>
      </c>
      <c r="B80" t="s">
        <v>254</v>
      </c>
      <c r="C80" t="s">
        <v>255</v>
      </c>
      <c r="D80" t="s">
        <v>29</v>
      </c>
      <c r="E80" t="s">
        <v>123</v>
      </c>
      <c r="F80" t="s">
        <v>64</v>
      </c>
      <c r="G80" t="s">
        <v>25</v>
      </c>
      <c r="H80">
        <v>455</v>
      </c>
    </row>
    <row r="81" spans="1:8" x14ac:dyDescent="0.3">
      <c r="A81" t="s">
        <v>256</v>
      </c>
      <c r="B81" t="s">
        <v>257</v>
      </c>
      <c r="C81" t="s">
        <v>258</v>
      </c>
      <c r="D81" t="s">
        <v>53</v>
      </c>
      <c r="E81" t="s">
        <v>83</v>
      </c>
      <c r="F81" t="s">
        <v>13</v>
      </c>
      <c r="G81" t="s">
        <v>14</v>
      </c>
      <c r="H81">
        <v>455</v>
      </c>
    </row>
    <row r="82" spans="1:8" x14ac:dyDescent="0.3">
      <c r="A82" t="s">
        <v>256</v>
      </c>
      <c r="B82" t="s">
        <v>257</v>
      </c>
      <c r="C82" t="s">
        <v>258</v>
      </c>
      <c r="D82" t="s">
        <v>53</v>
      </c>
      <c r="E82" t="s">
        <v>83</v>
      </c>
      <c r="F82" t="s">
        <v>13</v>
      </c>
      <c r="G82" t="s">
        <v>14</v>
      </c>
      <c r="H82">
        <v>455</v>
      </c>
    </row>
    <row r="83" spans="1:8" x14ac:dyDescent="0.3">
      <c r="A83" t="s">
        <v>259</v>
      </c>
      <c r="B83" t="s">
        <v>260</v>
      </c>
      <c r="C83" t="s">
        <v>261</v>
      </c>
      <c r="D83" t="s">
        <v>35</v>
      </c>
      <c r="E83" t="s">
        <v>44</v>
      </c>
      <c r="F83" t="s">
        <v>158</v>
      </c>
      <c r="G83" t="s">
        <v>25</v>
      </c>
      <c r="H83">
        <v>532</v>
      </c>
    </row>
    <row r="84" spans="1:8" x14ac:dyDescent="0.3">
      <c r="A84" t="s">
        <v>262</v>
      </c>
      <c r="B84" t="s">
        <v>263</v>
      </c>
      <c r="C84" t="s">
        <v>264</v>
      </c>
      <c r="D84" t="s">
        <v>18</v>
      </c>
      <c r="E84" t="s">
        <v>12</v>
      </c>
      <c r="F84" t="s">
        <v>24</v>
      </c>
      <c r="G84" t="s">
        <v>25</v>
      </c>
      <c r="H84">
        <v>175.5</v>
      </c>
    </row>
    <row r="85" spans="1:8" x14ac:dyDescent="0.3">
      <c r="A85" t="s">
        <v>265</v>
      </c>
      <c r="B85" t="s">
        <v>266</v>
      </c>
      <c r="C85" t="s">
        <v>267</v>
      </c>
      <c r="D85" t="s">
        <v>18</v>
      </c>
      <c r="E85" t="s">
        <v>19</v>
      </c>
      <c r="F85" t="s">
        <v>13</v>
      </c>
      <c r="G85" t="s">
        <v>268</v>
      </c>
      <c r="H85">
        <v>160</v>
      </c>
    </row>
    <row r="86" spans="1:8" x14ac:dyDescent="0.3">
      <c r="A86" t="s">
        <v>269</v>
      </c>
      <c r="B86" t="s">
        <v>270</v>
      </c>
      <c r="C86" t="s">
        <v>34</v>
      </c>
      <c r="D86" t="s">
        <v>35</v>
      </c>
      <c r="E86" t="s">
        <v>140</v>
      </c>
      <c r="F86" t="s">
        <v>24</v>
      </c>
      <c r="G86" t="s">
        <v>14</v>
      </c>
      <c r="H86">
        <v>273.60000000000002</v>
      </c>
    </row>
    <row r="87" spans="1:8" x14ac:dyDescent="0.3">
      <c r="A87" t="s">
        <v>271</v>
      </c>
      <c r="B87" t="s">
        <v>272</v>
      </c>
      <c r="C87" t="s">
        <v>273</v>
      </c>
      <c r="D87" t="s">
        <v>18</v>
      </c>
      <c r="E87" t="s">
        <v>19</v>
      </c>
      <c r="F87" t="s">
        <v>31</v>
      </c>
      <c r="G87" t="s">
        <v>40</v>
      </c>
      <c r="H87" t="s">
        <v>45</v>
      </c>
    </row>
    <row r="88" spans="1:8" x14ac:dyDescent="0.3">
      <c r="A88" t="s">
        <v>274</v>
      </c>
      <c r="B88" t="s">
        <v>275</v>
      </c>
      <c r="C88" t="s">
        <v>276</v>
      </c>
      <c r="D88" t="s">
        <v>18</v>
      </c>
      <c r="E88" t="s">
        <v>87</v>
      </c>
      <c r="F88" t="s">
        <v>24</v>
      </c>
      <c r="G88" t="s">
        <v>65</v>
      </c>
      <c r="H88">
        <v>376.2</v>
      </c>
    </row>
    <row r="89" spans="1:8" x14ac:dyDescent="0.3">
      <c r="A89" t="s">
        <v>277</v>
      </c>
      <c r="B89" t="s">
        <v>278</v>
      </c>
      <c r="C89" t="s">
        <v>174</v>
      </c>
      <c r="D89" t="s">
        <v>35</v>
      </c>
      <c r="E89" t="s">
        <v>140</v>
      </c>
      <c r="F89" t="s">
        <v>45</v>
      </c>
      <c r="G89" t="s">
        <v>40</v>
      </c>
      <c r="H89">
        <v>334</v>
      </c>
    </row>
    <row r="90" spans="1:8" x14ac:dyDescent="0.3">
      <c r="A90" t="s">
        <v>279</v>
      </c>
      <c r="B90" t="s">
        <v>280</v>
      </c>
      <c r="C90" t="s">
        <v>22</v>
      </c>
      <c r="D90" t="s">
        <v>18</v>
      </c>
      <c r="E90" t="s">
        <v>87</v>
      </c>
      <c r="F90" t="s">
        <v>13</v>
      </c>
      <c r="G90" t="s">
        <v>65</v>
      </c>
      <c r="H90">
        <v>395</v>
      </c>
    </row>
    <row r="91" spans="1:8" x14ac:dyDescent="0.3">
      <c r="A91" t="s">
        <v>281</v>
      </c>
      <c r="B91" t="s">
        <v>31</v>
      </c>
      <c r="C91" t="s">
        <v>282</v>
      </c>
      <c r="D91" t="s">
        <v>18</v>
      </c>
      <c r="E91" t="s">
        <v>87</v>
      </c>
      <c r="F91" t="s">
        <v>13</v>
      </c>
      <c r="G91" t="s">
        <v>65</v>
      </c>
      <c r="H91">
        <v>260</v>
      </c>
    </row>
    <row r="92" spans="1:8" x14ac:dyDescent="0.3">
      <c r="A92" t="s">
        <v>283</v>
      </c>
      <c r="B92" t="s">
        <v>284</v>
      </c>
      <c r="C92" t="s">
        <v>52</v>
      </c>
      <c r="D92" t="s">
        <v>29</v>
      </c>
      <c r="E92" t="s">
        <v>30</v>
      </c>
      <c r="F92" t="s">
        <v>13</v>
      </c>
      <c r="G92" t="s">
        <v>40</v>
      </c>
      <c r="H92">
        <v>444</v>
      </c>
    </row>
    <row r="93" spans="1:8" x14ac:dyDescent="0.3">
      <c r="A93" t="s">
        <v>285</v>
      </c>
      <c r="B93" t="s">
        <v>286</v>
      </c>
      <c r="C93" t="s">
        <v>122</v>
      </c>
      <c r="D93" t="s">
        <v>35</v>
      </c>
      <c r="E93" t="s">
        <v>72</v>
      </c>
      <c r="F93" t="s">
        <v>13</v>
      </c>
      <c r="G93" t="s">
        <v>25</v>
      </c>
      <c r="H93">
        <v>180</v>
      </c>
    </row>
    <row r="94" spans="1:8" x14ac:dyDescent="0.3">
      <c r="A94" t="s">
        <v>287</v>
      </c>
      <c r="B94" t="s">
        <v>288</v>
      </c>
      <c r="C94" t="s">
        <v>45</v>
      </c>
      <c r="D94" t="s">
        <v>29</v>
      </c>
      <c r="E94" t="s">
        <v>30</v>
      </c>
      <c r="F94" t="s">
        <v>289</v>
      </c>
      <c r="G94" t="s">
        <v>144</v>
      </c>
      <c r="H94">
        <v>427.5</v>
      </c>
    </row>
    <row r="95" spans="1:8" x14ac:dyDescent="0.3">
      <c r="A95" t="s">
        <v>287</v>
      </c>
      <c r="B95" t="s">
        <v>288</v>
      </c>
      <c r="C95" t="s">
        <v>290</v>
      </c>
      <c r="D95" t="s">
        <v>29</v>
      </c>
      <c r="E95" t="s">
        <v>30</v>
      </c>
      <c r="F95" t="s">
        <v>158</v>
      </c>
      <c r="G95" t="s">
        <v>25</v>
      </c>
      <c r="H95">
        <v>427.5</v>
      </c>
    </row>
    <row r="96" spans="1:8" x14ac:dyDescent="0.3">
      <c r="A96" t="s">
        <v>291</v>
      </c>
      <c r="B96" t="s">
        <v>45</v>
      </c>
      <c r="C96" t="s">
        <v>292</v>
      </c>
      <c r="D96" t="s">
        <v>35</v>
      </c>
      <c r="E96" t="s">
        <v>36</v>
      </c>
      <c r="F96" t="s">
        <v>13</v>
      </c>
      <c r="G96" t="s">
        <v>144</v>
      </c>
      <c r="H96">
        <v>390</v>
      </c>
    </row>
    <row r="97" spans="1:8" x14ac:dyDescent="0.3">
      <c r="A97" t="s">
        <v>293</v>
      </c>
      <c r="B97" t="s">
        <v>294</v>
      </c>
      <c r="C97" t="s">
        <v>31</v>
      </c>
      <c r="D97" t="s">
        <v>18</v>
      </c>
      <c r="E97" t="s">
        <v>295</v>
      </c>
      <c r="F97" t="s">
        <v>13</v>
      </c>
      <c r="G97" t="s">
        <v>40</v>
      </c>
      <c r="H97">
        <v>440</v>
      </c>
    </row>
    <row r="98" spans="1:8" x14ac:dyDescent="0.3">
      <c r="A98" t="s">
        <v>296</v>
      </c>
      <c r="B98" t="s">
        <v>297</v>
      </c>
      <c r="C98" t="s">
        <v>298</v>
      </c>
      <c r="D98" t="s">
        <v>53</v>
      </c>
      <c r="E98" t="s">
        <v>118</v>
      </c>
      <c r="F98" t="s">
        <v>158</v>
      </c>
      <c r="G98" t="s">
        <v>25</v>
      </c>
      <c r="H98">
        <v>205.2</v>
      </c>
    </row>
    <row r="99" spans="1:8" x14ac:dyDescent="0.3">
      <c r="A99" t="s">
        <v>299</v>
      </c>
      <c r="B99" t="s">
        <v>300</v>
      </c>
      <c r="C99" t="s">
        <v>258</v>
      </c>
      <c r="D99" t="s">
        <v>53</v>
      </c>
      <c r="E99" t="s">
        <v>76</v>
      </c>
      <c r="F99" t="s">
        <v>13</v>
      </c>
      <c r="G99" t="s">
        <v>31</v>
      </c>
      <c r="H99">
        <v>170</v>
      </c>
    </row>
    <row r="100" spans="1:8" x14ac:dyDescent="0.3">
      <c r="A100" t="s">
        <v>299</v>
      </c>
      <c r="B100" t="s">
        <v>300</v>
      </c>
      <c r="C100" t="s">
        <v>258</v>
      </c>
      <c r="D100" t="s">
        <v>53</v>
      </c>
      <c r="E100" t="s">
        <v>76</v>
      </c>
      <c r="F100" t="s">
        <v>13</v>
      </c>
      <c r="G100" t="s">
        <v>40</v>
      </c>
      <c r="H100">
        <v>170</v>
      </c>
    </row>
    <row r="101" spans="1:8" x14ac:dyDescent="0.3">
      <c r="A101" t="s">
        <v>301</v>
      </c>
      <c r="B101" t="s">
        <v>302</v>
      </c>
      <c r="C101" t="s">
        <v>303</v>
      </c>
      <c r="D101" t="s">
        <v>157</v>
      </c>
      <c r="E101" t="s">
        <v>118</v>
      </c>
      <c r="F101" t="s">
        <v>45</v>
      </c>
      <c r="G101" t="s">
        <v>25</v>
      </c>
      <c r="H101">
        <v>188</v>
      </c>
    </row>
    <row r="102" spans="1:8" x14ac:dyDescent="0.3">
      <c r="A102" t="s">
        <v>304</v>
      </c>
      <c r="B102" t="s">
        <v>305</v>
      </c>
      <c r="C102" t="s">
        <v>238</v>
      </c>
      <c r="D102" t="s">
        <v>18</v>
      </c>
      <c r="E102" t="s">
        <v>295</v>
      </c>
      <c r="F102" t="s">
        <v>13</v>
      </c>
      <c r="G102" t="s">
        <v>25</v>
      </c>
      <c r="H102">
        <v>116</v>
      </c>
    </row>
    <row r="103" spans="1:8" x14ac:dyDescent="0.3">
      <c r="A103" t="s">
        <v>306</v>
      </c>
      <c r="B103" t="s">
        <v>307</v>
      </c>
      <c r="C103" t="s">
        <v>308</v>
      </c>
      <c r="D103" t="s">
        <v>53</v>
      </c>
      <c r="E103" t="s">
        <v>76</v>
      </c>
      <c r="F103" t="s">
        <v>13</v>
      </c>
      <c r="G103" t="s">
        <v>14</v>
      </c>
      <c r="H103">
        <v>198</v>
      </c>
    </row>
    <row r="104" spans="1:8" x14ac:dyDescent="0.3">
      <c r="A104" t="s">
        <v>45</v>
      </c>
      <c r="B104" t="s">
        <v>309</v>
      </c>
      <c r="C104" t="s">
        <v>310</v>
      </c>
      <c r="D104" t="s">
        <v>18</v>
      </c>
      <c r="E104" t="s">
        <v>23</v>
      </c>
      <c r="F104" t="s">
        <v>13</v>
      </c>
      <c r="G104" t="s">
        <v>14</v>
      </c>
      <c r="H104">
        <v>389</v>
      </c>
    </row>
    <row r="105" spans="1:8" x14ac:dyDescent="0.3">
      <c r="A105" t="s">
        <v>311</v>
      </c>
      <c r="B105" t="s">
        <v>312</v>
      </c>
      <c r="C105" t="s">
        <v>313</v>
      </c>
      <c r="D105" t="s">
        <v>18</v>
      </c>
      <c r="E105" t="s">
        <v>12</v>
      </c>
      <c r="F105" t="s">
        <v>54</v>
      </c>
      <c r="G105" t="s">
        <v>65</v>
      </c>
      <c r="H105">
        <v>363.8</v>
      </c>
    </row>
    <row r="106" spans="1:8" x14ac:dyDescent="0.3">
      <c r="A106" t="s">
        <v>314</v>
      </c>
      <c r="B106" t="s">
        <v>315</v>
      </c>
      <c r="C106" t="s">
        <v>316</v>
      </c>
      <c r="D106" t="s">
        <v>35</v>
      </c>
      <c r="E106" t="s">
        <v>44</v>
      </c>
      <c r="F106" t="s">
        <v>13</v>
      </c>
      <c r="G106" t="s">
        <v>40</v>
      </c>
      <c r="H106">
        <v>745</v>
      </c>
    </row>
    <row r="107" spans="1:8" x14ac:dyDescent="0.3">
      <c r="A107" t="s">
        <v>317</v>
      </c>
      <c r="B107" t="s">
        <v>318</v>
      </c>
      <c r="C107" t="s">
        <v>319</v>
      </c>
      <c r="D107" t="s">
        <v>18</v>
      </c>
      <c r="E107" t="s">
        <v>23</v>
      </c>
      <c r="F107" t="s">
        <v>13</v>
      </c>
      <c r="G107" t="s">
        <v>14</v>
      </c>
      <c r="H107">
        <v>434</v>
      </c>
    </row>
    <row r="108" spans="1:8" x14ac:dyDescent="0.3">
      <c r="A108" t="s">
        <v>320</v>
      </c>
      <c r="B108" t="s">
        <v>321</v>
      </c>
      <c r="C108" t="s">
        <v>128</v>
      </c>
      <c r="D108" t="s">
        <v>35</v>
      </c>
      <c r="E108" t="s">
        <v>72</v>
      </c>
      <c r="F108" t="s">
        <v>322</v>
      </c>
      <c r="G108" t="s">
        <v>65</v>
      </c>
      <c r="H108">
        <v>256.5</v>
      </c>
    </row>
    <row r="109" spans="1:8" x14ac:dyDescent="0.3">
      <c r="A109" t="s">
        <v>323</v>
      </c>
      <c r="B109" t="s">
        <v>324</v>
      </c>
      <c r="C109" t="s">
        <v>325</v>
      </c>
      <c r="D109" t="s">
        <v>29</v>
      </c>
      <c r="E109" t="s">
        <v>30</v>
      </c>
      <c r="F109" t="s">
        <v>45</v>
      </c>
      <c r="G109" t="s">
        <v>40</v>
      </c>
      <c r="H109">
        <v>485</v>
      </c>
    </row>
    <row r="110" spans="1:8" x14ac:dyDescent="0.3">
      <c r="A110" t="s">
        <v>326</v>
      </c>
      <c r="B110" t="s">
        <v>327</v>
      </c>
      <c r="C110" t="s">
        <v>328</v>
      </c>
      <c r="D110" t="s">
        <v>18</v>
      </c>
      <c r="E110" t="s">
        <v>12</v>
      </c>
      <c r="F110" t="s">
        <v>158</v>
      </c>
      <c r="G110" t="s">
        <v>40</v>
      </c>
      <c r="H110">
        <v>290.7</v>
      </c>
    </row>
    <row r="111" spans="1:8" x14ac:dyDescent="0.3">
      <c r="A111" t="s">
        <v>45</v>
      </c>
      <c r="B111" t="s">
        <v>329</v>
      </c>
      <c r="C111" t="s">
        <v>330</v>
      </c>
      <c r="D111" t="s">
        <v>53</v>
      </c>
      <c r="E111" t="s">
        <v>138</v>
      </c>
      <c r="F111" t="s">
        <v>13</v>
      </c>
      <c r="G111" t="s">
        <v>14</v>
      </c>
      <c r="H111">
        <v>364</v>
      </c>
    </row>
    <row r="112" spans="1:8" x14ac:dyDescent="0.3">
      <c r="A112" t="s">
        <v>331</v>
      </c>
      <c r="B112" t="s">
        <v>332</v>
      </c>
      <c r="C112" t="s">
        <v>261</v>
      </c>
      <c r="D112" t="s">
        <v>18</v>
      </c>
      <c r="E112" t="s">
        <v>87</v>
      </c>
      <c r="F112" t="s">
        <v>45</v>
      </c>
      <c r="G112" t="s">
        <v>25</v>
      </c>
      <c r="H112">
        <v>520</v>
      </c>
    </row>
    <row r="113" spans="1:8" x14ac:dyDescent="0.3">
      <c r="A113" t="s">
        <v>333</v>
      </c>
      <c r="B113" t="s">
        <v>67</v>
      </c>
      <c r="C113" t="s">
        <v>57</v>
      </c>
      <c r="D113" t="s">
        <v>35</v>
      </c>
      <c r="E113" t="s">
        <v>140</v>
      </c>
      <c r="F113" t="s">
        <v>24</v>
      </c>
      <c r="G113" t="s">
        <v>14</v>
      </c>
      <c r="H113">
        <v>593.1</v>
      </c>
    </row>
    <row r="114" spans="1:8" x14ac:dyDescent="0.3">
      <c r="A114" t="s">
        <v>334</v>
      </c>
      <c r="B114" t="s">
        <v>335</v>
      </c>
      <c r="C114" t="s">
        <v>210</v>
      </c>
      <c r="D114" t="s">
        <v>29</v>
      </c>
      <c r="E114" t="s">
        <v>168</v>
      </c>
      <c r="F114" t="s">
        <v>13</v>
      </c>
      <c r="G114" t="s">
        <v>268</v>
      </c>
      <c r="H114">
        <v>165</v>
      </c>
    </row>
    <row r="115" spans="1:8" x14ac:dyDescent="0.3">
      <c r="A115" t="s">
        <v>336</v>
      </c>
      <c r="B115" t="s">
        <v>337</v>
      </c>
      <c r="C115" t="s">
        <v>45</v>
      </c>
      <c r="D115" t="s">
        <v>29</v>
      </c>
      <c r="E115" t="s">
        <v>200</v>
      </c>
      <c r="F115" t="s">
        <v>13</v>
      </c>
      <c r="G115" t="s">
        <v>40</v>
      </c>
      <c r="H115">
        <v>306</v>
      </c>
    </row>
    <row r="116" spans="1:8" x14ac:dyDescent="0.3">
      <c r="A116" t="s">
        <v>338</v>
      </c>
      <c r="B116" t="s">
        <v>339</v>
      </c>
      <c r="C116" t="s">
        <v>188</v>
      </c>
      <c r="D116" t="s">
        <v>35</v>
      </c>
      <c r="E116" t="s">
        <v>340</v>
      </c>
      <c r="F116" t="s">
        <v>24</v>
      </c>
      <c r="G116" t="s">
        <v>65</v>
      </c>
      <c r="H116">
        <v>49.5</v>
      </c>
    </row>
    <row r="117" spans="1:8" x14ac:dyDescent="0.3">
      <c r="A117" t="s">
        <v>341</v>
      </c>
      <c r="B117" t="s">
        <v>342</v>
      </c>
      <c r="C117" t="s">
        <v>343</v>
      </c>
      <c r="D117" t="s">
        <v>29</v>
      </c>
      <c r="E117" t="s">
        <v>200</v>
      </c>
      <c r="F117" t="s">
        <v>158</v>
      </c>
      <c r="G117" t="s">
        <v>65</v>
      </c>
      <c r="H117">
        <v>513</v>
      </c>
    </row>
    <row r="118" spans="1:8" x14ac:dyDescent="0.3">
      <c r="A118" t="s">
        <v>344</v>
      </c>
      <c r="B118" t="s">
        <v>345</v>
      </c>
      <c r="C118" t="s">
        <v>346</v>
      </c>
      <c r="D118" t="s">
        <v>18</v>
      </c>
      <c r="E118" t="s">
        <v>295</v>
      </c>
      <c r="F118" t="s">
        <v>13</v>
      </c>
      <c r="G118" t="s">
        <v>40</v>
      </c>
      <c r="H118">
        <v>130</v>
      </c>
    </row>
    <row r="119" spans="1:8" x14ac:dyDescent="0.3">
      <c r="A119" t="s">
        <v>347</v>
      </c>
      <c r="B119" t="s">
        <v>348</v>
      </c>
      <c r="C119" t="s">
        <v>349</v>
      </c>
      <c r="D119" t="s">
        <v>53</v>
      </c>
      <c r="E119" t="s">
        <v>138</v>
      </c>
      <c r="F119" t="s">
        <v>13</v>
      </c>
      <c r="G119" t="s">
        <v>65</v>
      </c>
      <c r="H119">
        <v>520</v>
      </c>
    </row>
    <row r="120" spans="1:8" x14ac:dyDescent="0.3">
      <c r="A120" t="s">
        <v>350</v>
      </c>
      <c r="B120" t="s">
        <v>351</v>
      </c>
      <c r="C120" t="s">
        <v>352</v>
      </c>
      <c r="D120" t="s">
        <v>29</v>
      </c>
      <c r="E120" t="s">
        <v>200</v>
      </c>
      <c r="F120" t="s">
        <v>13</v>
      </c>
      <c r="G120" t="s">
        <v>40</v>
      </c>
      <c r="H120">
        <v>210</v>
      </c>
    </row>
    <row r="121" spans="1:8" x14ac:dyDescent="0.3">
      <c r="A121" t="s">
        <v>353</v>
      </c>
      <c r="B121" t="s">
        <v>354</v>
      </c>
      <c r="C121" t="s">
        <v>155</v>
      </c>
      <c r="D121" t="s">
        <v>35</v>
      </c>
      <c r="E121" t="s">
        <v>140</v>
      </c>
      <c r="F121" t="s">
        <v>13</v>
      </c>
      <c r="G121" t="s">
        <v>25</v>
      </c>
      <c r="H121">
        <v>615</v>
      </c>
    </row>
    <row r="122" spans="1:8" x14ac:dyDescent="0.3">
      <c r="A122" t="s">
        <v>355</v>
      </c>
      <c r="B122" t="s">
        <v>356</v>
      </c>
      <c r="C122" t="s">
        <v>357</v>
      </c>
      <c r="D122" t="s">
        <v>11</v>
      </c>
      <c r="E122" t="s">
        <v>295</v>
      </c>
      <c r="F122" t="s">
        <v>13</v>
      </c>
      <c r="G122" t="s">
        <v>40</v>
      </c>
      <c r="H122">
        <v>527</v>
      </c>
    </row>
    <row r="123" spans="1:8" x14ac:dyDescent="0.3">
      <c r="A123" t="s">
        <v>358</v>
      </c>
      <c r="B123" t="s">
        <v>359</v>
      </c>
      <c r="C123" t="s">
        <v>360</v>
      </c>
      <c r="D123" t="s">
        <v>29</v>
      </c>
      <c r="E123" t="s">
        <v>123</v>
      </c>
      <c r="F123" t="s">
        <v>13</v>
      </c>
      <c r="G123" t="s">
        <v>65</v>
      </c>
      <c r="H123">
        <v>325</v>
      </c>
    </row>
    <row r="124" spans="1:8" x14ac:dyDescent="0.3">
      <c r="A124" t="s">
        <v>361</v>
      </c>
      <c r="B124" t="s">
        <v>362</v>
      </c>
      <c r="C124" t="s">
        <v>363</v>
      </c>
      <c r="D124" t="s">
        <v>18</v>
      </c>
      <c r="E124" t="s">
        <v>45</v>
      </c>
      <c r="F124" t="s">
        <v>13</v>
      </c>
      <c r="G124" t="s">
        <v>14</v>
      </c>
      <c r="H124">
        <v>390</v>
      </c>
    </row>
    <row r="125" spans="1:8" x14ac:dyDescent="0.3">
      <c r="A125" t="s">
        <v>364</v>
      </c>
      <c r="B125" t="s">
        <v>365</v>
      </c>
      <c r="C125" t="s">
        <v>366</v>
      </c>
      <c r="D125" t="s">
        <v>18</v>
      </c>
      <c r="E125" t="s">
        <v>19</v>
      </c>
      <c r="F125" t="s">
        <v>54</v>
      </c>
      <c r="G125" t="s">
        <v>25</v>
      </c>
      <c r="H125">
        <v>144.5</v>
      </c>
    </row>
    <row r="126" spans="1:8" x14ac:dyDescent="0.3">
      <c r="A126" t="s">
        <v>367</v>
      </c>
      <c r="B126" t="s">
        <v>368</v>
      </c>
      <c r="C126" t="s">
        <v>45</v>
      </c>
      <c r="D126" t="s">
        <v>29</v>
      </c>
      <c r="E126" t="s">
        <v>30</v>
      </c>
      <c r="F126" t="s">
        <v>13</v>
      </c>
      <c r="G126" t="s">
        <v>25</v>
      </c>
      <c r="H126">
        <v>330</v>
      </c>
    </row>
    <row r="127" spans="1:8" x14ac:dyDescent="0.3">
      <c r="A127" t="s">
        <v>369</v>
      </c>
      <c r="B127" t="s">
        <v>370</v>
      </c>
      <c r="C127" t="s">
        <v>371</v>
      </c>
      <c r="D127" t="s">
        <v>53</v>
      </c>
      <c r="E127" t="s">
        <v>76</v>
      </c>
      <c r="F127" t="s">
        <v>13</v>
      </c>
      <c r="G127" t="s">
        <v>65</v>
      </c>
      <c r="H127">
        <v>333</v>
      </c>
    </row>
    <row r="128" spans="1:8" x14ac:dyDescent="0.3">
      <c r="A128" t="s">
        <v>372</v>
      </c>
      <c r="B128" t="s">
        <v>373</v>
      </c>
      <c r="C128" t="s">
        <v>171</v>
      </c>
      <c r="D128" t="s">
        <v>35</v>
      </c>
      <c r="E128" t="s">
        <v>36</v>
      </c>
      <c r="F128" t="s">
        <v>24</v>
      </c>
      <c r="G128" t="s">
        <v>65</v>
      </c>
      <c r="H128">
        <v>301.5</v>
      </c>
    </row>
    <row r="129" spans="1:8" x14ac:dyDescent="0.3">
      <c r="A129" t="s">
        <v>374</v>
      </c>
      <c r="B129" t="s">
        <v>375</v>
      </c>
      <c r="C129" t="s">
        <v>376</v>
      </c>
      <c r="D129" t="s">
        <v>29</v>
      </c>
      <c r="E129" t="s">
        <v>49</v>
      </c>
      <c r="F129" t="s">
        <v>13</v>
      </c>
      <c r="G129" t="s">
        <v>65</v>
      </c>
      <c r="H129">
        <v>531</v>
      </c>
    </row>
    <row r="130" spans="1:8" x14ac:dyDescent="0.3">
      <c r="A130" t="s">
        <v>377</v>
      </c>
      <c r="B130" t="s">
        <v>378</v>
      </c>
      <c r="C130" t="s">
        <v>186</v>
      </c>
      <c r="D130" t="s">
        <v>53</v>
      </c>
      <c r="E130" t="s">
        <v>104</v>
      </c>
      <c r="F130" t="s">
        <v>158</v>
      </c>
      <c r="G130" t="s">
        <v>65</v>
      </c>
      <c r="H130">
        <v>288.8</v>
      </c>
    </row>
    <row r="131" spans="1:8" x14ac:dyDescent="0.3">
      <c r="A131" t="s">
        <v>379</v>
      </c>
      <c r="B131" t="s">
        <v>380</v>
      </c>
      <c r="C131" t="s">
        <v>381</v>
      </c>
      <c r="D131" t="s">
        <v>246</v>
      </c>
      <c r="E131" t="s">
        <v>44</v>
      </c>
      <c r="F131" t="s">
        <v>13</v>
      </c>
      <c r="G131" t="s">
        <v>14</v>
      </c>
      <c r="H131">
        <v>150</v>
      </c>
    </row>
    <row r="132" spans="1:8" x14ac:dyDescent="0.3">
      <c r="A132" t="s">
        <v>382</v>
      </c>
      <c r="B132" t="s">
        <v>383</v>
      </c>
      <c r="C132" t="s">
        <v>111</v>
      </c>
      <c r="D132" t="s">
        <v>18</v>
      </c>
      <c r="E132" t="s">
        <v>87</v>
      </c>
      <c r="F132" t="s">
        <v>64</v>
      </c>
      <c r="G132" t="s">
        <v>40</v>
      </c>
      <c r="H132">
        <v>534</v>
      </c>
    </row>
    <row r="133" spans="1:8" x14ac:dyDescent="0.3">
      <c r="A133" t="s">
        <v>384</v>
      </c>
      <c r="B133" t="s">
        <v>221</v>
      </c>
      <c r="C133" t="s">
        <v>75</v>
      </c>
      <c r="D133" t="s">
        <v>18</v>
      </c>
      <c r="E133" t="s">
        <v>385</v>
      </c>
      <c r="F133" t="s">
        <v>54</v>
      </c>
      <c r="G133" t="s">
        <v>14</v>
      </c>
      <c r="H133">
        <v>522.75</v>
      </c>
    </row>
    <row r="134" spans="1:8" x14ac:dyDescent="0.3">
      <c r="A134" t="s">
        <v>386</v>
      </c>
      <c r="B134" t="s">
        <v>387</v>
      </c>
      <c r="C134" t="s">
        <v>388</v>
      </c>
      <c r="D134" t="s">
        <v>53</v>
      </c>
      <c r="E134" t="s">
        <v>83</v>
      </c>
      <c r="F134" t="s">
        <v>158</v>
      </c>
      <c r="G134" t="s">
        <v>25</v>
      </c>
      <c r="H134">
        <v>484.5</v>
      </c>
    </row>
    <row r="135" spans="1:8" x14ac:dyDescent="0.3">
      <c r="A135" t="s">
        <v>389</v>
      </c>
      <c r="B135" t="s">
        <v>390</v>
      </c>
      <c r="C135" t="s">
        <v>391</v>
      </c>
      <c r="D135" t="s">
        <v>35</v>
      </c>
      <c r="E135" t="s">
        <v>392</v>
      </c>
      <c r="F135" t="s">
        <v>54</v>
      </c>
      <c r="G135" t="s">
        <v>65</v>
      </c>
      <c r="H135">
        <v>199.75</v>
      </c>
    </row>
    <row r="136" spans="1:8" x14ac:dyDescent="0.3">
      <c r="A136" t="s">
        <v>45</v>
      </c>
      <c r="B136" t="s">
        <v>393</v>
      </c>
      <c r="C136" t="s">
        <v>161</v>
      </c>
      <c r="D136" t="s">
        <v>29</v>
      </c>
      <c r="E136" t="s">
        <v>31</v>
      </c>
      <c r="F136" t="s">
        <v>13</v>
      </c>
      <c r="G136" t="s">
        <v>144</v>
      </c>
      <c r="H136">
        <v>791</v>
      </c>
    </row>
    <row r="137" spans="1:8" x14ac:dyDescent="0.3">
      <c r="A137" t="s">
        <v>394</v>
      </c>
      <c r="B137" t="s">
        <v>395</v>
      </c>
      <c r="C137" t="s">
        <v>396</v>
      </c>
      <c r="D137" t="s">
        <v>45</v>
      </c>
      <c r="E137" t="s">
        <v>140</v>
      </c>
      <c r="F137" t="s">
        <v>13</v>
      </c>
      <c r="G137" t="s">
        <v>45</v>
      </c>
      <c r="H137">
        <v>116</v>
      </c>
    </row>
    <row r="138" spans="1:8" x14ac:dyDescent="0.3">
      <c r="A138" t="s">
        <v>397</v>
      </c>
      <c r="B138" t="s">
        <v>198</v>
      </c>
      <c r="C138" t="s">
        <v>82</v>
      </c>
      <c r="D138" t="s">
        <v>53</v>
      </c>
      <c r="E138" t="s">
        <v>118</v>
      </c>
      <c r="F138" t="s">
        <v>13</v>
      </c>
      <c r="G138" t="s">
        <v>25</v>
      </c>
      <c r="H138">
        <v>60</v>
      </c>
    </row>
    <row r="139" spans="1:8" x14ac:dyDescent="0.3">
      <c r="A139" t="s">
        <v>398</v>
      </c>
      <c r="B139" t="s">
        <v>399</v>
      </c>
      <c r="C139" t="s">
        <v>400</v>
      </c>
      <c r="D139" t="s">
        <v>35</v>
      </c>
      <c r="E139" t="s">
        <v>340</v>
      </c>
      <c r="F139" t="s">
        <v>54</v>
      </c>
      <c r="G139" t="s">
        <v>14</v>
      </c>
      <c r="H139">
        <v>195.5</v>
      </c>
    </row>
    <row r="140" spans="1:8" x14ac:dyDescent="0.3">
      <c r="A140" t="s">
        <v>401</v>
      </c>
      <c r="B140" t="s">
        <v>402</v>
      </c>
      <c r="C140" t="s">
        <v>403</v>
      </c>
      <c r="D140" t="s">
        <v>18</v>
      </c>
      <c r="E140" t="s">
        <v>87</v>
      </c>
      <c r="F140" t="s">
        <v>158</v>
      </c>
      <c r="G140" t="s">
        <v>40</v>
      </c>
      <c r="H140">
        <v>171</v>
      </c>
    </row>
    <row r="141" spans="1:8" x14ac:dyDescent="0.3">
      <c r="A141" t="s">
        <v>404</v>
      </c>
      <c r="B141" t="s">
        <v>405</v>
      </c>
      <c r="C141" t="s">
        <v>406</v>
      </c>
      <c r="D141" t="s">
        <v>53</v>
      </c>
      <c r="E141" t="s">
        <v>138</v>
      </c>
      <c r="F141" t="s">
        <v>24</v>
      </c>
      <c r="G141" t="s">
        <v>65</v>
      </c>
      <c r="H141">
        <v>256.5</v>
      </c>
    </row>
    <row r="142" spans="1:8" x14ac:dyDescent="0.3">
      <c r="A142" t="s">
        <v>407</v>
      </c>
      <c r="B142" t="s">
        <v>408</v>
      </c>
      <c r="C142" t="s">
        <v>186</v>
      </c>
      <c r="D142" t="s">
        <v>53</v>
      </c>
      <c r="E142" t="s">
        <v>83</v>
      </c>
      <c r="F142" t="s">
        <v>13</v>
      </c>
      <c r="G142" t="s">
        <v>14</v>
      </c>
      <c r="H142">
        <v>605</v>
      </c>
    </row>
    <row r="143" spans="1:8" x14ac:dyDescent="0.3">
      <c r="A143" t="s">
        <v>409</v>
      </c>
      <c r="B143" t="s">
        <v>410</v>
      </c>
      <c r="C143" t="s">
        <v>411</v>
      </c>
      <c r="D143" t="s">
        <v>35</v>
      </c>
      <c r="E143" t="s">
        <v>44</v>
      </c>
      <c r="F143" t="s">
        <v>54</v>
      </c>
      <c r="G143" t="s">
        <v>40</v>
      </c>
      <c r="H143">
        <v>85</v>
      </c>
    </row>
    <row r="144" spans="1:8" x14ac:dyDescent="0.3">
      <c r="A144" t="s">
        <v>412</v>
      </c>
      <c r="B144" t="s">
        <v>413</v>
      </c>
      <c r="C144" t="s">
        <v>414</v>
      </c>
      <c r="D144" t="s">
        <v>29</v>
      </c>
      <c r="E144" t="s">
        <v>200</v>
      </c>
      <c r="F144" t="s">
        <v>13</v>
      </c>
      <c r="G144" t="s">
        <v>25</v>
      </c>
      <c r="H144">
        <v>529</v>
      </c>
    </row>
    <row r="145" spans="1:8" x14ac:dyDescent="0.3">
      <c r="A145" t="s">
        <v>415</v>
      </c>
      <c r="B145" t="s">
        <v>416</v>
      </c>
      <c r="C145" t="s">
        <v>213</v>
      </c>
      <c r="D145" t="s">
        <v>35</v>
      </c>
      <c r="E145" t="s">
        <v>72</v>
      </c>
      <c r="F145" t="s">
        <v>13</v>
      </c>
      <c r="G145" t="s">
        <v>25</v>
      </c>
      <c r="H145">
        <v>225</v>
      </c>
    </row>
    <row r="146" spans="1:8" x14ac:dyDescent="0.3">
      <c r="A146" t="s">
        <v>415</v>
      </c>
      <c r="B146" t="s">
        <v>417</v>
      </c>
      <c r="C146" t="s">
        <v>213</v>
      </c>
      <c r="D146" t="s">
        <v>35</v>
      </c>
      <c r="E146" t="s">
        <v>72</v>
      </c>
      <c r="F146" t="s">
        <v>13</v>
      </c>
      <c r="G146" t="s">
        <v>25</v>
      </c>
      <c r="H146">
        <v>225</v>
      </c>
    </row>
    <row r="147" spans="1:8" x14ac:dyDescent="0.3">
      <c r="A147" t="s">
        <v>418</v>
      </c>
      <c r="B147" t="s">
        <v>419</v>
      </c>
      <c r="C147" t="s">
        <v>177</v>
      </c>
      <c r="D147" t="s">
        <v>29</v>
      </c>
      <c r="E147" t="s">
        <v>49</v>
      </c>
      <c r="F147" t="s">
        <v>54</v>
      </c>
      <c r="G147" t="s">
        <v>40</v>
      </c>
      <c r="H147">
        <v>233.75</v>
      </c>
    </row>
    <row r="148" spans="1:8" x14ac:dyDescent="0.3">
      <c r="A148" t="s">
        <v>420</v>
      </c>
      <c r="B148" t="s">
        <v>254</v>
      </c>
      <c r="C148" t="s">
        <v>421</v>
      </c>
      <c r="D148" t="s">
        <v>53</v>
      </c>
      <c r="E148" t="s">
        <v>76</v>
      </c>
      <c r="F148" t="s">
        <v>54</v>
      </c>
      <c r="G148" t="s">
        <v>40</v>
      </c>
      <c r="H148">
        <v>476.85</v>
      </c>
    </row>
    <row r="149" spans="1:8" x14ac:dyDescent="0.3">
      <c r="A149" t="s">
        <v>422</v>
      </c>
      <c r="B149" t="s">
        <v>321</v>
      </c>
      <c r="C149" t="s">
        <v>360</v>
      </c>
      <c r="D149" t="s">
        <v>53</v>
      </c>
      <c r="E149" t="s">
        <v>118</v>
      </c>
      <c r="F149" t="s">
        <v>54</v>
      </c>
      <c r="G149" t="s">
        <v>40</v>
      </c>
      <c r="H149">
        <v>247.35</v>
      </c>
    </row>
    <row r="150" spans="1:8" x14ac:dyDescent="0.3">
      <c r="A150" t="s">
        <v>423</v>
      </c>
      <c r="B150" t="s">
        <v>424</v>
      </c>
      <c r="C150" t="s">
        <v>425</v>
      </c>
      <c r="D150" t="s">
        <v>29</v>
      </c>
      <c r="E150" t="s">
        <v>200</v>
      </c>
      <c r="F150" t="s">
        <v>13</v>
      </c>
      <c r="G150" t="s">
        <v>65</v>
      </c>
      <c r="H150">
        <v>68</v>
      </c>
    </row>
    <row r="151" spans="1:8" x14ac:dyDescent="0.3">
      <c r="A151" t="s">
        <v>426</v>
      </c>
      <c r="B151" t="s">
        <v>427</v>
      </c>
      <c r="C151" t="s">
        <v>310</v>
      </c>
      <c r="D151" t="s">
        <v>29</v>
      </c>
      <c r="E151" t="s">
        <v>123</v>
      </c>
      <c r="F151" t="s">
        <v>24</v>
      </c>
      <c r="G151" t="s">
        <v>40</v>
      </c>
      <c r="H151">
        <v>228.6</v>
      </c>
    </row>
    <row r="152" spans="1:8" x14ac:dyDescent="0.3">
      <c r="A152" t="s">
        <v>428</v>
      </c>
      <c r="B152" t="s">
        <v>429</v>
      </c>
      <c r="C152" t="s">
        <v>134</v>
      </c>
      <c r="D152" t="s">
        <v>35</v>
      </c>
      <c r="E152" t="s">
        <v>31</v>
      </c>
      <c r="F152" t="s">
        <v>13</v>
      </c>
      <c r="G152" t="s">
        <v>65</v>
      </c>
      <c r="H152">
        <v>255</v>
      </c>
    </row>
    <row r="153" spans="1:8" x14ac:dyDescent="0.3">
      <c r="A153" t="s">
        <v>430</v>
      </c>
      <c r="B153" t="s">
        <v>431</v>
      </c>
      <c r="C153" t="s">
        <v>98</v>
      </c>
      <c r="D153" t="s">
        <v>18</v>
      </c>
      <c r="E153" t="s">
        <v>12</v>
      </c>
      <c r="F153" t="s">
        <v>13</v>
      </c>
      <c r="G153" t="s">
        <v>25</v>
      </c>
      <c r="H153">
        <v>605</v>
      </c>
    </row>
    <row r="154" spans="1:8" x14ac:dyDescent="0.3">
      <c r="A154" t="s">
        <v>432</v>
      </c>
      <c r="B154" t="s">
        <v>433</v>
      </c>
      <c r="C154" t="s">
        <v>252</v>
      </c>
      <c r="D154" t="s">
        <v>53</v>
      </c>
      <c r="E154" t="s">
        <v>83</v>
      </c>
      <c r="F154" t="s">
        <v>13</v>
      </c>
      <c r="G154" t="s">
        <v>40</v>
      </c>
      <c r="H154">
        <v>455</v>
      </c>
    </row>
    <row r="155" spans="1:8" x14ac:dyDescent="0.3">
      <c r="A155" t="s">
        <v>434</v>
      </c>
      <c r="B155" t="s">
        <v>435</v>
      </c>
      <c r="C155" t="s">
        <v>238</v>
      </c>
      <c r="D155" t="s">
        <v>18</v>
      </c>
      <c r="E155" t="s">
        <v>23</v>
      </c>
      <c r="F155" t="s">
        <v>13</v>
      </c>
      <c r="G155" t="s">
        <v>14</v>
      </c>
      <c r="H155">
        <v>415</v>
      </c>
    </row>
    <row r="156" spans="1:8" x14ac:dyDescent="0.3">
      <c r="A156" t="s">
        <v>31</v>
      </c>
      <c r="B156" t="s">
        <v>436</v>
      </c>
      <c r="C156" t="s">
        <v>437</v>
      </c>
      <c r="D156" t="s">
        <v>18</v>
      </c>
      <c r="E156" t="s">
        <v>12</v>
      </c>
      <c r="F156" t="s">
        <v>13</v>
      </c>
      <c r="G156" t="s">
        <v>40</v>
      </c>
      <c r="H156">
        <v>536</v>
      </c>
    </row>
    <row r="157" spans="1:8" x14ac:dyDescent="0.3">
      <c r="A157" t="s">
        <v>438</v>
      </c>
      <c r="B157" t="s">
        <v>439</v>
      </c>
      <c r="C157" t="s">
        <v>292</v>
      </c>
      <c r="D157" t="s">
        <v>35</v>
      </c>
      <c r="E157" t="s">
        <v>440</v>
      </c>
      <c r="F157" t="s">
        <v>13</v>
      </c>
      <c r="G157" t="s">
        <v>25</v>
      </c>
      <c r="H157">
        <v>370</v>
      </c>
    </row>
    <row r="158" spans="1:8" x14ac:dyDescent="0.3">
      <c r="A158" t="s">
        <v>441</v>
      </c>
      <c r="B158" t="s">
        <v>442</v>
      </c>
      <c r="C158" t="s">
        <v>411</v>
      </c>
      <c r="D158" t="s">
        <v>18</v>
      </c>
      <c r="E158" t="s">
        <v>87</v>
      </c>
      <c r="F158" t="s">
        <v>13</v>
      </c>
      <c r="G158" t="s">
        <v>25</v>
      </c>
      <c r="H158">
        <v>180</v>
      </c>
    </row>
    <row r="159" spans="1:8" x14ac:dyDescent="0.3">
      <c r="A159" t="s">
        <v>443</v>
      </c>
      <c r="B159" t="s">
        <v>444</v>
      </c>
      <c r="C159" t="s">
        <v>445</v>
      </c>
      <c r="D159" t="s">
        <v>53</v>
      </c>
      <c r="E159" t="s">
        <v>104</v>
      </c>
      <c r="F159" t="s">
        <v>13</v>
      </c>
      <c r="G159" t="s">
        <v>65</v>
      </c>
      <c r="H159">
        <v>421</v>
      </c>
    </row>
    <row r="160" spans="1:8" x14ac:dyDescent="0.3">
      <c r="A160" t="s">
        <v>446</v>
      </c>
      <c r="B160" t="s">
        <v>447</v>
      </c>
      <c r="C160" t="s">
        <v>319</v>
      </c>
      <c r="D160" t="s">
        <v>246</v>
      </c>
      <c r="E160" t="s">
        <v>44</v>
      </c>
      <c r="F160" t="s">
        <v>13</v>
      </c>
      <c r="G160" t="s">
        <v>144</v>
      </c>
      <c r="H160">
        <v>495</v>
      </c>
    </row>
    <row r="161" spans="1:8" x14ac:dyDescent="0.3">
      <c r="A161" t="s">
        <v>448</v>
      </c>
      <c r="B161" t="s">
        <v>449</v>
      </c>
      <c r="C161" t="s">
        <v>328</v>
      </c>
      <c r="D161" t="s">
        <v>29</v>
      </c>
      <c r="E161" t="s">
        <v>200</v>
      </c>
      <c r="F161" t="s">
        <v>24</v>
      </c>
      <c r="G161" t="s">
        <v>14</v>
      </c>
      <c r="H161">
        <v>104.4</v>
      </c>
    </row>
    <row r="162" spans="1:8" x14ac:dyDescent="0.3">
      <c r="A162" t="s">
        <v>450</v>
      </c>
      <c r="B162" t="s">
        <v>451</v>
      </c>
      <c r="C162" t="s">
        <v>349</v>
      </c>
      <c r="D162" t="s">
        <v>11</v>
      </c>
      <c r="E162" t="s">
        <v>19</v>
      </c>
      <c r="F162" t="s">
        <v>289</v>
      </c>
      <c r="G162" t="s">
        <v>40</v>
      </c>
      <c r="H162">
        <v>154.85</v>
      </c>
    </row>
    <row r="163" spans="1:8" x14ac:dyDescent="0.3">
      <c r="A163" t="s">
        <v>452</v>
      </c>
      <c r="B163" t="s">
        <v>453</v>
      </c>
      <c r="C163" t="s">
        <v>454</v>
      </c>
      <c r="D163" t="s">
        <v>35</v>
      </c>
      <c r="E163" t="s">
        <v>36</v>
      </c>
      <c r="F163" t="s">
        <v>13</v>
      </c>
      <c r="G163" t="s">
        <v>40</v>
      </c>
      <c r="H163">
        <v>235</v>
      </c>
    </row>
    <row r="164" spans="1:8" x14ac:dyDescent="0.3">
      <c r="A164" t="s">
        <v>455</v>
      </c>
      <c r="B164" t="s">
        <v>456</v>
      </c>
      <c r="C164" t="s">
        <v>457</v>
      </c>
      <c r="D164" t="s">
        <v>18</v>
      </c>
      <c r="E164" t="s">
        <v>19</v>
      </c>
      <c r="F164" t="s">
        <v>24</v>
      </c>
      <c r="G164" t="s">
        <v>45</v>
      </c>
      <c r="H164">
        <v>333.9</v>
      </c>
    </row>
    <row r="165" spans="1:8" x14ac:dyDescent="0.3">
      <c r="A165" t="s">
        <v>458</v>
      </c>
      <c r="B165" t="s">
        <v>459</v>
      </c>
      <c r="C165" t="s">
        <v>460</v>
      </c>
      <c r="D165" t="s">
        <v>53</v>
      </c>
      <c r="E165" t="s">
        <v>83</v>
      </c>
      <c r="F165" t="s">
        <v>158</v>
      </c>
      <c r="G165" t="s">
        <v>40</v>
      </c>
      <c r="H165">
        <v>674.5</v>
      </c>
    </row>
    <row r="166" spans="1:8" x14ac:dyDescent="0.3">
      <c r="A166" t="s">
        <v>461</v>
      </c>
      <c r="B166" t="s">
        <v>462</v>
      </c>
      <c r="C166" t="s">
        <v>463</v>
      </c>
      <c r="D166" t="s">
        <v>53</v>
      </c>
      <c r="E166" t="s">
        <v>464</v>
      </c>
      <c r="F166" t="s">
        <v>13</v>
      </c>
      <c r="G166" t="s">
        <v>65</v>
      </c>
      <c r="H166">
        <v>335</v>
      </c>
    </row>
    <row r="167" spans="1:8" x14ac:dyDescent="0.3">
      <c r="A167" t="s">
        <v>465</v>
      </c>
      <c r="B167" t="s">
        <v>190</v>
      </c>
      <c r="C167" t="s">
        <v>174</v>
      </c>
      <c r="D167" t="s">
        <v>35</v>
      </c>
      <c r="E167" t="s">
        <v>340</v>
      </c>
      <c r="F167" t="s">
        <v>54</v>
      </c>
      <c r="G167" t="s">
        <v>40</v>
      </c>
      <c r="H167">
        <v>46.75</v>
      </c>
    </row>
    <row r="168" spans="1:8" x14ac:dyDescent="0.3">
      <c r="A168" t="s">
        <v>466</v>
      </c>
      <c r="B168" t="s">
        <v>467</v>
      </c>
      <c r="C168" t="s">
        <v>376</v>
      </c>
      <c r="D168" t="s">
        <v>45</v>
      </c>
      <c r="E168" t="s">
        <v>72</v>
      </c>
      <c r="F168" t="s">
        <v>13</v>
      </c>
      <c r="G168" t="s">
        <v>14</v>
      </c>
      <c r="H168">
        <v>240</v>
      </c>
    </row>
    <row r="169" spans="1:8" x14ac:dyDescent="0.3">
      <c r="A169" t="s">
        <v>468</v>
      </c>
      <c r="B169" t="s">
        <v>469</v>
      </c>
      <c r="C169" t="s">
        <v>325</v>
      </c>
      <c r="D169" t="s">
        <v>29</v>
      </c>
      <c r="E169" t="s">
        <v>49</v>
      </c>
      <c r="F169" t="s">
        <v>45</v>
      </c>
      <c r="G169" t="s">
        <v>40</v>
      </c>
      <c r="H169">
        <v>354</v>
      </c>
    </row>
    <row r="170" spans="1:8" x14ac:dyDescent="0.3">
      <c r="A170" t="s">
        <v>470</v>
      </c>
      <c r="B170" t="s">
        <v>471</v>
      </c>
      <c r="C170" t="s">
        <v>273</v>
      </c>
      <c r="D170" t="s">
        <v>18</v>
      </c>
      <c r="E170" t="s">
        <v>87</v>
      </c>
      <c r="F170" t="s">
        <v>13</v>
      </c>
      <c r="G170" t="s">
        <v>25</v>
      </c>
      <c r="H170">
        <v>110</v>
      </c>
    </row>
    <row r="171" spans="1:8" x14ac:dyDescent="0.3">
      <c r="A171" t="s">
        <v>472</v>
      </c>
      <c r="B171" t="s">
        <v>473</v>
      </c>
      <c r="C171" t="s">
        <v>474</v>
      </c>
      <c r="D171" t="s">
        <v>35</v>
      </c>
      <c r="E171" t="s">
        <v>36</v>
      </c>
      <c r="F171" t="s">
        <v>13</v>
      </c>
      <c r="G171" t="s">
        <v>14</v>
      </c>
      <c r="H171">
        <v>729</v>
      </c>
    </row>
    <row r="172" spans="1:8" x14ac:dyDescent="0.3">
      <c r="A172" t="s">
        <v>475</v>
      </c>
      <c r="B172" t="s">
        <v>476</v>
      </c>
      <c r="C172" t="s">
        <v>477</v>
      </c>
      <c r="D172" t="s">
        <v>35</v>
      </c>
      <c r="E172" t="s">
        <v>340</v>
      </c>
      <c r="F172" t="s">
        <v>13</v>
      </c>
      <c r="G172" t="s">
        <v>25</v>
      </c>
      <c r="H172">
        <v>274</v>
      </c>
    </row>
    <row r="173" spans="1:8" x14ac:dyDescent="0.3">
      <c r="A173" t="s">
        <v>478</v>
      </c>
      <c r="B173" t="s">
        <v>399</v>
      </c>
      <c r="C173" t="s">
        <v>111</v>
      </c>
      <c r="D173" t="s">
        <v>479</v>
      </c>
      <c r="E173" t="s">
        <v>49</v>
      </c>
      <c r="F173" t="s">
        <v>13</v>
      </c>
      <c r="G173" t="s">
        <v>25</v>
      </c>
      <c r="H173">
        <v>699</v>
      </c>
    </row>
    <row r="174" spans="1:8" x14ac:dyDescent="0.3">
      <c r="A174" t="s">
        <v>480</v>
      </c>
      <c r="B174" t="s">
        <v>481</v>
      </c>
      <c r="C174" t="s">
        <v>482</v>
      </c>
      <c r="D174" t="s">
        <v>53</v>
      </c>
      <c r="E174" t="s">
        <v>76</v>
      </c>
      <c r="F174" t="s">
        <v>54</v>
      </c>
      <c r="G174" t="s">
        <v>65</v>
      </c>
      <c r="H174">
        <v>293.25</v>
      </c>
    </row>
    <row r="175" spans="1:8" x14ac:dyDescent="0.3">
      <c r="A175" t="s">
        <v>483</v>
      </c>
      <c r="B175" t="s">
        <v>484</v>
      </c>
      <c r="C175" t="s">
        <v>485</v>
      </c>
      <c r="D175" t="s">
        <v>29</v>
      </c>
      <c r="E175" t="s">
        <v>30</v>
      </c>
      <c r="F175" t="s">
        <v>13</v>
      </c>
      <c r="G175" t="s">
        <v>40</v>
      </c>
      <c r="H175">
        <v>95</v>
      </c>
    </row>
    <row r="176" spans="1:8" x14ac:dyDescent="0.3">
      <c r="A176" t="s">
        <v>483</v>
      </c>
      <c r="B176" t="s">
        <v>484</v>
      </c>
      <c r="C176" t="s">
        <v>485</v>
      </c>
      <c r="D176" t="s">
        <v>29</v>
      </c>
      <c r="E176" t="s">
        <v>30</v>
      </c>
      <c r="F176" t="s">
        <v>13</v>
      </c>
      <c r="G176" t="s">
        <v>40</v>
      </c>
      <c r="H176">
        <v>95</v>
      </c>
    </row>
    <row r="177" spans="1:8" x14ac:dyDescent="0.3">
      <c r="A177" t="s">
        <v>486</v>
      </c>
      <c r="B177" t="s">
        <v>21</v>
      </c>
      <c r="C177" t="s">
        <v>79</v>
      </c>
      <c r="D177" t="s">
        <v>29</v>
      </c>
      <c r="E177" t="s">
        <v>168</v>
      </c>
      <c r="F177" t="s">
        <v>13</v>
      </c>
      <c r="G177" t="s">
        <v>65</v>
      </c>
      <c r="H177">
        <v>556</v>
      </c>
    </row>
    <row r="178" spans="1:8" x14ac:dyDescent="0.3">
      <c r="A178" t="s">
        <v>487</v>
      </c>
      <c r="B178" t="s">
        <v>488</v>
      </c>
      <c r="C178" t="s">
        <v>45</v>
      </c>
      <c r="D178" t="s">
        <v>53</v>
      </c>
      <c r="E178" t="s">
        <v>104</v>
      </c>
      <c r="F178" t="s">
        <v>13</v>
      </c>
      <c r="G178" t="s">
        <v>14</v>
      </c>
      <c r="H178">
        <v>240</v>
      </c>
    </row>
    <row r="179" spans="1:8" x14ac:dyDescent="0.3">
      <c r="A179" t="s">
        <v>489</v>
      </c>
      <c r="B179" t="s">
        <v>490</v>
      </c>
      <c r="C179" t="s">
        <v>491</v>
      </c>
      <c r="D179" t="s">
        <v>18</v>
      </c>
      <c r="E179" t="s">
        <v>295</v>
      </c>
      <c r="F179" t="s">
        <v>13</v>
      </c>
      <c r="G179" t="s">
        <v>40</v>
      </c>
      <c r="H179">
        <v>600</v>
      </c>
    </row>
    <row r="180" spans="1:8" x14ac:dyDescent="0.3">
      <c r="A180" t="s">
        <v>492</v>
      </c>
      <c r="B180" t="s">
        <v>493</v>
      </c>
      <c r="C180" t="s">
        <v>137</v>
      </c>
      <c r="D180" t="s">
        <v>11</v>
      </c>
      <c r="E180" t="s">
        <v>494</v>
      </c>
      <c r="F180" t="s">
        <v>24</v>
      </c>
      <c r="G180" t="s">
        <v>14</v>
      </c>
      <c r="H180">
        <v>135</v>
      </c>
    </row>
    <row r="181" spans="1:8" x14ac:dyDescent="0.3">
      <c r="A181" t="s">
        <v>495</v>
      </c>
      <c r="B181" t="s">
        <v>496</v>
      </c>
      <c r="C181" t="s">
        <v>497</v>
      </c>
      <c r="D181" t="s">
        <v>35</v>
      </c>
      <c r="E181" t="s">
        <v>340</v>
      </c>
      <c r="F181" t="s">
        <v>13</v>
      </c>
      <c r="G181" t="s">
        <v>65</v>
      </c>
      <c r="H181">
        <v>330</v>
      </c>
    </row>
    <row r="182" spans="1:8" x14ac:dyDescent="0.3">
      <c r="A182" t="s">
        <v>495</v>
      </c>
      <c r="B182" t="s">
        <v>498</v>
      </c>
      <c r="C182" t="s">
        <v>497</v>
      </c>
      <c r="D182" t="s">
        <v>35</v>
      </c>
      <c r="E182" t="s">
        <v>340</v>
      </c>
      <c r="F182" t="s">
        <v>13</v>
      </c>
      <c r="G182" t="s">
        <v>65</v>
      </c>
      <c r="H182">
        <v>330</v>
      </c>
    </row>
    <row r="183" spans="1:8" x14ac:dyDescent="0.3">
      <c r="A183" t="s">
        <v>499</v>
      </c>
      <c r="B183" t="s">
        <v>500</v>
      </c>
      <c r="C183" t="s">
        <v>137</v>
      </c>
      <c r="D183" t="s">
        <v>35</v>
      </c>
      <c r="E183" t="s">
        <v>44</v>
      </c>
      <c r="F183" t="s">
        <v>24</v>
      </c>
      <c r="G183" t="s">
        <v>25</v>
      </c>
      <c r="H183">
        <v>162</v>
      </c>
    </row>
    <row r="184" spans="1:8" x14ac:dyDescent="0.3">
      <c r="A184" t="s">
        <v>501</v>
      </c>
      <c r="B184" t="s">
        <v>502</v>
      </c>
      <c r="C184" t="s">
        <v>503</v>
      </c>
      <c r="D184" t="s">
        <v>29</v>
      </c>
      <c r="E184" t="s">
        <v>200</v>
      </c>
      <c r="F184" t="s">
        <v>13</v>
      </c>
      <c r="G184" t="s">
        <v>45</v>
      </c>
      <c r="H184">
        <v>465</v>
      </c>
    </row>
    <row r="185" spans="1:8" x14ac:dyDescent="0.3">
      <c r="A185" t="s">
        <v>504</v>
      </c>
      <c r="B185" t="s">
        <v>505</v>
      </c>
      <c r="C185" t="s">
        <v>506</v>
      </c>
      <c r="D185" t="s">
        <v>35</v>
      </c>
      <c r="E185" t="s">
        <v>340</v>
      </c>
      <c r="F185" t="s">
        <v>13</v>
      </c>
      <c r="G185" t="s">
        <v>507</v>
      </c>
      <c r="H185">
        <v>521</v>
      </c>
    </row>
    <row r="186" spans="1:8" x14ac:dyDescent="0.3">
      <c r="A186" t="s">
        <v>508</v>
      </c>
      <c r="B186" t="s">
        <v>509</v>
      </c>
      <c r="C186" t="s">
        <v>510</v>
      </c>
      <c r="D186" t="s">
        <v>35</v>
      </c>
      <c r="E186" t="s">
        <v>44</v>
      </c>
      <c r="F186" t="s">
        <v>13</v>
      </c>
      <c r="G186" t="s">
        <v>14</v>
      </c>
      <c r="H186">
        <v>160</v>
      </c>
    </row>
    <row r="187" spans="1:8" x14ac:dyDescent="0.3">
      <c r="A187" t="s">
        <v>511</v>
      </c>
      <c r="B187" t="s">
        <v>512</v>
      </c>
      <c r="C187" t="s">
        <v>45</v>
      </c>
      <c r="D187" t="s">
        <v>31</v>
      </c>
      <c r="E187" t="s">
        <v>123</v>
      </c>
      <c r="F187" t="s">
        <v>13</v>
      </c>
      <c r="G187" t="s">
        <v>65</v>
      </c>
      <c r="H187">
        <v>350</v>
      </c>
    </row>
    <row r="188" spans="1:8" x14ac:dyDescent="0.3">
      <c r="A188" t="s">
        <v>511</v>
      </c>
      <c r="B188" t="s">
        <v>512</v>
      </c>
      <c r="C188" t="s">
        <v>177</v>
      </c>
      <c r="D188" t="s">
        <v>29</v>
      </c>
      <c r="E188" t="s">
        <v>123</v>
      </c>
      <c r="F188" t="s">
        <v>13</v>
      </c>
      <c r="G188" t="s">
        <v>65</v>
      </c>
      <c r="H188">
        <v>350</v>
      </c>
    </row>
    <row r="189" spans="1:8" x14ac:dyDescent="0.3">
      <c r="A189" t="s">
        <v>513</v>
      </c>
      <c r="B189" t="s">
        <v>514</v>
      </c>
      <c r="C189" t="s">
        <v>174</v>
      </c>
      <c r="D189" t="s">
        <v>29</v>
      </c>
      <c r="E189" t="s">
        <v>123</v>
      </c>
      <c r="F189" t="s">
        <v>13</v>
      </c>
      <c r="G189" t="s">
        <v>507</v>
      </c>
      <c r="H189">
        <v>649</v>
      </c>
    </row>
    <row r="190" spans="1:8" x14ac:dyDescent="0.3">
      <c r="A190" t="s">
        <v>515</v>
      </c>
      <c r="B190" t="s">
        <v>516</v>
      </c>
      <c r="C190" t="s">
        <v>517</v>
      </c>
      <c r="D190" t="s">
        <v>29</v>
      </c>
      <c r="E190" t="s">
        <v>123</v>
      </c>
      <c r="F190" t="s">
        <v>158</v>
      </c>
      <c r="G190" t="s">
        <v>40</v>
      </c>
      <c r="H190">
        <v>392.35</v>
      </c>
    </row>
    <row r="191" spans="1:8" x14ac:dyDescent="0.3">
      <c r="A191" t="s">
        <v>518</v>
      </c>
      <c r="B191" t="s">
        <v>519</v>
      </c>
      <c r="C191" t="s">
        <v>520</v>
      </c>
      <c r="D191" t="s">
        <v>35</v>
      </c>
      <c r="E191" t="s">
        <v>392</v>
      </c>
      <c r="F191" t="s">
        <v>64</v>
      </c>
      <c r="G191" t="s">
        <v>65</v>
      </c>
      <c r="H191">
        <v>160</v>
      </c>
    </row>
    <row r="192" spans="1:8" x14ac:dyDescent="0.3">
      <c r="A192" t="s">
        <v>521</v>
      </c>
      <c r="B192" t="s">
        <v>522</v>
      </c>
      <c r="C192" t="s">
        <v>523</v>
      </c>
      <c r="D192" t="s">
        <v>29</v>
      </c>
      <c r="E192" t="s">
        <v>168</v>
      </c>
      <c r="F192" t="s">
        <v>13</v>
      </c>
      <c r="G192" t="s">
        <v>14</v>
      </c>
      <c r="H192">
        <v>242</v>
      </c>
    </row>
    <row r="193" spans="1:8" x14ac:dyDescent="0.3">
      <c r="A193" t="s">
        <v>521</v>
      </c>
      <c r="B193" t="s">
        <v>522</v>
      </c>
      <c r="C193" t="s">
        <v>523</v>
      </c>
      <c r="D193" t="s">
        <v>29</v>
      </c>
      <c r="E193" t="s">
        <v>168</v>
      </c>
      <c r="F193" t="s">
        <v>13</v>
      </c>
      <c r="G193" t="s">
        <v>14</v>
      </c>
      <c r="H193">
        <v>242</v>
      </c>
    </row>
    <row r="194" spans="1:8" x14ac:dyDescent="0.3">
      <c r="A194" t="s">
        <v>31</v>
      </c>
      <c r="B194" t="s">
        <v>524</v>
      </c>
      <c r="C194" t="s">
        <v>93</v>
      </c>
      <c r="D194" t="s">
        <v>53</v>
      </c>
      <c r="E194" t="s">
        <v>83</v>
      </c>
      <c r="F194" t="s">
        <v>13</v>
      </c>
      <c r="G194" t="s">
        <v>25</v>
      </c>
      <c r="H194">
        <v>485</v>
      </c>
    </row>
    <row r="195" spans="1:8" x14ac:dyDescent="0.3">
      <c r="A195" t="s">
        <v>525</v>
      </c>
      <c r="B195" t="s">
        <v>526</v>
      </c>
      <c r="C195" t="s">
        <v>527</v>
      </c>
      <c r="D195" t="s">
        <v>29</v>
      </c>
      <c r="E195" t="s">
        <v>200</v>
      </c>
      <c r="F195" t="s">
        <v>13</v>
      </c>
      <c r="G195" t="s">
        <v>14</v>
      </c>
      <c r="H195">
        <v>440</v>
      </c>
    </row>
    <row r="196" spans="1:8" x14ac:dyDescent="0.3">
      <c r="A196" t="s">
        <v>528</v>
      </c>
      <c r="B196" t="s">
        <v>529</v>
      </c>
      <c r="C196" t="s">
        <v>530</v>
      </c>
      <c r="D196" t="s">
        <v>53</v>
      </c>
      <c r="E196" t="s">
        <v>531</v>
      </c>
      <c r="F196" t="s">
        <v>13</v>
      </c>
      <c r="G196" t="s">
        <v>31</v>
      </c>
      <c r="H196">
        <v>335</v>
      </c>
    </row>
    <row r="197" spans="1:8" x14ac:dyDescent="0.3">
      <c r="A197" t="s">
        <v>532</v>
      </c>
      <c r="B197" t="s">
        <v>533</v>
      </c>
      <c r="C197" t="s">
        <v>534</v>
      </c>
      <c r="D197" t="s">
        <v>29</v>
      </c>
      <c r="E197" t="s">
        <v>200</v>
      </c>
      <c r="F197" t="s">
        <v>24</v>
      </c>
      <c r="G197" t="s">
        <v>14</v>
      </c>
      <c r="H197">
        <v>320.39999999999998</v>
      </c>
    </row>
    <row r="198" spans="1:8" x14ac:dyDescent="0.3">
      <c r="A198" t="s">
        <v>535</v>
      </c>
      <c r="B198" t="s">
        <v>536</v>
      </c>
      <c r="C198" t="s">
        <v>230</v>
      </c>
      <c r="D198" t="s">
        <v>35</v>
      </c>
      <c r="E198" t="s">
        <v>44</v>
      </c>
      <c r="F198" t="s">
        <v>24</v>
      </c>
      <c r="G198" t="s">
        <v>40</v>
      </c>
      <c r="H198">
        <v>122.4</v>
      </c>
    </row>
    <row r="199" spans="1:8" x14ac:dyDescent="0.3">
      <c r="A199" t="s">
        <v>537</v>
      </c>
      <c r="B199" t="s">
        <v>538</v>
      </c>
      <c r="C199" t="s">
        <v>539</v>
      </c>
      <c r="D199" t="s">
        <v>35</v>
      </c>
      <c r="E199" t="s">
        <v>36</v>
      </c>
      <c r="F199" t="s">
        <v>64</v>
      </c>
      <c r="G199" t="s">
        <v>14</v>
      </c>
      <c r="H199">
        <v>230</v>
      </c>
    </row>
    <row r="200" spans="1:8" x14ac:dyDescent="0.3">
      <c r="A200" t="s">
        <v>31</v>
      </c>
      <c r="B200" t="s">
        <v>540</v>
      </c>
      <c r="C200" t="s">
        <v>366</v>
      </c>
      <c r="D200" t="s">
        <v>35</v>
      </c>
      <c r="E200" t="s">
        <v>140</v>
      </c>
      <c r="F200" t="s">
        <v>13</v>
      </c>
      <c r="G200" t="s">
        <v>40</v>
      </c>
      <c r="H200">
        <v>380</v>
      </c>
    </row>
    <row r="201" spans="1:8" x14ac:dyDescent="0.3">
      <c r="A201" t="s">
        <v>541</v>
      </c>
      <c r="B201" t="s">
        <v>542</v>
      </c>
      <c r="C201" t="s">
        <v>543</v>
      </c>
      <c r="D201" t="s">
        <v>29</v>
      </c>
      <c r="E201" t="s">
        <v>123</v>
      </c>
      <c r="F201" t="s">
        <v>13</v>
      </c>
      <c r="G201" t="s">
        <v>144</v>
      </c>
      <c r="H201">
        <v>170</v>
      </c>
    </row>
    <row r="202" spans="1:8" x14ac:dyDescent="0.3">
      <c r="A202" t="s">
        <v>544</v>
      </c>
      <c r="B202" t="s">
        <v>545</v>
      </c>
      <c r="C202" t="s">
        <v>261</v>
      </c>
      <c r="D202" t="s">
        <v>18</v>
      </c>
      <c r="E202" t="s">
        <v>87</v>
      </c>
      <c r="F202" t="s">
        <v>45</v>
      </c>
      <c r="G202" t="s">
        <v>14</v>
      </c>
      <c r="H202">
        <v>389.7</v>
      </c>
    </row>
    <row r="203" spans="1:8" x14ac:dyDescent="0.3">
      <c r="A203" t="s">
        <v>546</v>
      </c>
      <c r="B203" t="s">
        <v>547</v>
      </c>
      <c r="C203" t="s">
        <v>227</v>
      </c>
      <c r="D203" t="s">
        <v>53</v>
      </c>
      <c r="E203" t="s">
        <v>138</v>
      </c>
      <c r="F203" t="s">
        <v>13</v>
      </c>
      <c r="G203" t="s">
        <v>119</v>
      </c>
      <c r="H203">
        <v>110</v>
      </c>
    </row>
    <row r="204" spans="1:8" x14ac:dyDescent="0.3">
      <c r="A204" t="s">
        <v>548</v>
      </c>
      <c r="B204" t="s">
        <v>549</v>
      </c>
      <c r="C204" t="s">
        <v>550</v>
      </c>
      <c r="D204" t="s">
        <v>53</v>
      </c>
      <c r="E204" t="s">
        <v>83</v>
      </c>
      <c r="F204" t="s">
        <v>24</v>
      </c>
      <c r="G204" t="s">
        <v>14</v>
      </c>
      <c r="H204">
        <v>61.2</v>
      </c>
    </row>
    <row r="205" spans="1:8" x14ac:dyDescent="0.3">
      <c r="A205" t="s">
        <v>551</v>
      </c>
      <c r="B205" t="s">
        <v>552</v>
      </c>
      <c r="C205" t="s">
        <v>482</v>
      </c>
      <c r="D205" t="s">
        <v>53</v>
      </c>
      <c r="E205" t="s">
        <v>118</v>
      </c>
      <c r="F205" t="s">
        <v>13</v>
      </c>
      <c r="G205" t="s">
        <v>65</v>
      </c>
      <c r="H205">
        <v>140</v>
      </c>
    </row>
    <row r="206" spans="1:8" x14ac:dyDescent="0.3">
      <c r="A206" t="s">
        <v>553</v>
      </c>
      <c r="B206" t="s">
        <v>554</v>
      </c>
      <c r="C206" t="s">
        <v>31</v>
      </c>
      <c r="D206" t="s">
        <v>53</v>
      </c>
      <c r="E206" t="s">
        <v>138</v>
      </c>
      <c r="F206" t="s">
        <v>24</v>
      </c>
      <c r="G206" t="s">
        <v>25</v>
      </c>
      <c r="H206">
        <v>297</v>
      </c>
    </row>
    <row r="207" spans="1:8" x14ac:dyDescent="0.3">
      <c r="A207" t="s">
        <v>555</v>
      </c>
      <c r="B207" t="s">
        <v>556</v>
      </c>
      <c r="C207" t="s">
        <v>366</v>
      </c>
      <c r="D207" t="s">
        <v>35</v>
      </c>
      <c r="E207" t="s">
        <v>108</v>
      </c>
      <c r="F207" t="s">
        <v>13</v>
      </c>
      <c r="G207" t="s">
        <v>40</v>
      </c>
      <c r="H207">
        <v>370</v>
      </c>
    </row>
    <row r="208" spans="1:8" x14ac:dyDescent="0.3">
      <c r="A208" t="s">
        <v>557</v>
      </c>
      <c r="B208" t="s">
        <v>558</v>
      </c>
      <c r="C208" t="s">
        <v>188</v>
      </c>
      <c r="D208" t="s">
        <v>53</v>
      </c>
      <c r="E208" t="s">
        <v>138</v>
      </c>
      <c r="F208" t="s">
        <v>13</v>
      </c>
      <c r="G208" t="s">
        <v>14</v>
      </c>
      <c r="H208">
        <v>430</v>
      </c>
    </row>
    <row r="209" spans="1:8" x14ac:dyDescent="0.3">
      <c r="A209" t="s">
        <v>559</v>
      </c>
      <c r="B209" t="s">
        <v>560</v>
      </c>
      <c r="C209" t="s">
        <v>17</v>
      </c>
      <c r="D209" t="s">
        <v>18</v>
      </c>
      <c r="E209" t="s">
        <v>12</v>
      </c>
      <c r="F209" t="s">
        <v>289</v>
      </c>
      <c r="G209" t="s">
        <v>65</v>
      </c>
      <c r="H209">
        <v>418</v>
      </c>
    </row>
    <row r="210" spans="1:8" x14ac:dyDescent="0.3">
      <c r="A210" t="s">
        <v>561</v>
      </c>
      <c r="B210" t="s">
        <v>562</v>
      </c>
      <c r="C210" t="s">
        <v>563</v>
      </c>
      <c r="D210" t="s">
        <v>18</v>
      </c>
      <c r="E210" t="s">
        <v>295</v>
      </c>
      <c r="F210" t="s">
        <v>13</v>
      </c>
      <c r="G210" t="s">
        <v>40</v>
      </c>
      <c r="H210">
        <v>513</v>
      </c>
    </row>
    <row r="211" spans="1:8" x14ac:dyDescent="0.3">
      <c r="A211" t="s">
        <v>564</v>
      </c>
      <c r="B211" t="s">
        <v>565</v>
      </c>
      <c r="C211" t="s">
        <v>566</v>
      </c>
      <c r="D211" t="s">
        <v>29</v>
      </c>
      <c r="E211" t="s">
        <v>30</v>
      </c>
      <c r="F211" t="s">
        <v>13</v>
      </c>
      <c r="G211" t="s">
        <v>65</v>
      </c>
      <c r="H211">
        <v>589</v>
      </c>
    </row>
    <row r="212" spans="1:8" x14ac:dyDescent="0.3">
      <c r="A212" t="s">
        <v>567</v>
      </c>
      <c r="B212" t="s">
        <v>568</v>
      </c>
      <c r="C212" t="s">
        <v>34</v>
      </c>
      <c r="D212" t="s">
        <v>29</v>
      </c>
      <c r="E212" t="s">
        <v>30</v>
      </c>
      <c r="F212" t="s">
        <v>13</v>
      </c>
      <c r="G212" t="s">
        <v>25</v>
      </c>
      <c r="H212">
        <v>240</v>
      </c>
    </row>
    <row r="213" spans="1:8" x14ac:dyDescent="0.3">
      <c r="A213" t="s">
        <v>569</v>
      </c>
      <c r="B213" t="s">
        <v>570</v>
      </c>
      <c r="C213" t="s">
        <v>255</v>
      </c>
      <c r="D213" t="s">
        <v>45</v>
      </c>
      <c r="E213" t="s">
        <v>19</v>
      </c>
      <c r="F213" t="s">
        <v>158</v>
      </c>
      <c r="G213" t="s">
        <v>14</v>
      </c>
      <c r="H213">
        <v>166.25</v>
      </c>
    </row>
    <row r="214" spans="1:8" x14ac:dyDescent="0.3">
      <c r="A214" t="s">
        <v>571</v>
      </c>
      <c r="B214" t="s">
        <v>45</v>
      </c>
      <c r="C214" t="s">
        <v>411</v>
      </c>
      <c r="D214" t="s">
        <v>53</v>
      </c>
      <c r="E214" t="s">
        <v>76</v>
      </c>
      <c r="F214" t="s">
        <v>24</v>
      </c>
      <c r="G214" t="s">
        <v>144</v>
      </c>
      <c r="H214">
        <v>446.4</v>
      </c>
    </row>
    <row r="215" spans="1:8" x14ac:dyDescent="0.3">
      <c r="A215" t="s">
        <v>572</v>
      </c>
      <c r="B215" t="s">
        <v>573</v>
      </c>
      <c r="C215" t="s">
        <v>107</v>
      </c>
      <c r="D215" t="s">
        <v>18</v>
      </c>
      <c r="E215" t="s">
        <v>23</v>
      </c>
      <c r="F215" t="s">
        <v>13</v>
      </c>
      <c r="G215" t="s">
        <v>65</v>
      </c>
      <c r="H215">
        <v>408</v>
      </c>
    </row>
    <row r="216" spans="1:8" x14ac:dyDescent="0.3">
      <c r="A216" t="s">
        <v>574</v>
      </c>
      <c r="B216" t="s">
        <v>575</v>
      </c>
      <c r="C216" t="s">
        <v>31</v>
      </c>
      <c r="D216" t="s">
        <v>35</v>
      </c>
      <c r="E216" t="s">
        <v>36</v>
      </c>
      <c r="F216" t="s">
        <v>54</v>
      </c>
      <c r="G216" t="s">
        <v>40</v>
      </c>
      <c r="H216">
        <v>46.75</v>
      </c>
    </row>
    <row r="217" spans="1:8" x14ac:dyDescent="0.3">
      <c r="A217" t="s">
        <v>576</v>
      </c>
      <c r="B217" t="s">
        <v>577</v>
      </c>
      <c r="C217" t="s">
        <v>578</v>
      </c>
      <c r="D217" t="s">
        <v>29</v>
      </c>
      <c r="E217" t="s">
        <v>123</v>
      </c>
      <c r="F217" t="s">
        <v>158</v>
      </c>
      <c r="G217" t="s">
        <v>14</v>
      </c>
      <c r="H217">
        <v>546.25</v>
      </c>
    </row>
    <row r="218" spans="1:8" x14ac:dyDescent="0.3">
      <c r="A218" t="s">
        <v>579</v>
      </c>
      <c r="B218" t="s">
        <v>580</v>
      </c>
      <c r="C218" t="s">
        <v>210</v>
      </c>
      <c r="D218" t="s">
        <v>18</v>
      </c>
      <c r="E218" t="s">
        <v>19</v>
      </c>
      <c r="F218" t="s">
        <v>13</v>
      </c>
      <c r="G218" t="s">
        <v>25</v>
      </c>
      <c r="H218">
        <v>655</v>
      </c>
    </row>
    <row r="219" spans="1:8" x14ac:dyDescent="0.3">
      <c r="A219" t="s">
        <v>581</v>
      </c>
      <c r="B219" t="s">
        <v>582</v>
      </c>
      <c r="C219" t="s">
        <v>233</v>
      </c>
      <c r="D219" t="s">
        <v>11</v>
      </c>
      <c r="E219" t="s">
        <v>23</v>
      </c>
      <c r="F219" t="s">
        <v>54</v>
      </c>
      <c r="G219" t="s">
        <v>25</v>
      </c>
      <c r="H219">
        <v>178.5</v>
      </c>
    </row>
    <row r="220" spans="1:8" x14ac:dyDescent="0.3">
      <c r="A220" t="s">
        <v>583</v>
      </c>
      <c r="B220" t="s">
        <v>205</v>
      </c>
      <c r="C220" t="s">
        <v>584</v>
      </c>
      <c r="D220" t="s">
        <v>53</v>
      </c>
      <c r="E220" t="s">
        <v>118</v>
      </c>
      <c r="F220" t="s">
        <v>13</v>
      </c>
      <c r="G220" t="s">
        <v>40</v>
      </c>
      <c r="H220">
        <v>100</v>
      </c>
    </row>
    <row r="221" spans="1:8" x14ac:dyDescent="0.3">
      <c r="A221" t="s">
        <v>585</v>
      </c>
      <c r="B221" t="s">
        <v>586</v>
      </c>
      <c r="C221" t="s">
        <v>587</v>
      </c>
      <c r="D221" t="s">
        <v>35</v>
      </c>
      <c r="E221" t="s">
        <v>140</v>
      </c>
      <c r="F221" t="s">
        <v>24</v>
      </c>
      <c r="G221" t="s">
        <v>40</v>
      </c>
      <c r="H221">
        <v>544.5</v>
      </c>
    </row>
    <row r="222" spans="1:8" x14ac:dyDescent="0.3">
      <c r="A222" t="s">
        <v>588</v>
      </c>
      <c r="B222" t="s">
        <v>589</v>
      </c>
      <c r="C222" t="s">
        <v>45</v>
      </c>
      <c r="D222" t="s">
        <v>35</v>
      </c>
      <c r="E222" t="s">
        <v>440</v>
      </c>
      <c r="F222" t="s">
        <v>54</v>
      </c>
      <c r="G222" t="s">
        <v>40</v>
      </c>
      <c r="H222">
        <v>293.25</v>
      </c>
    </row>
    <row r="223" spans="1:8" x14ac:dyDescent="0.3">
      <c r="A223" t="s">
        <v>590</v>
      </c>
      <c r="B223" t="s">
        <v>591</v>
      </c>
      <c r="C223" t="s">
        <v>497</v>
      </c>
      <c r="D223" t="s">
        <v>53</v>
      </c>
      <c r="E223" t="s">
        <v>83</v>
      </c>
      <c r="F223" t="s">
        <v>13</v>
      </c>
      <c r="G223" t="s">
        <v>40</v>
      </c>
      <c r="H223">
        <v>475</v>
      </c>
    </row>
    <row r="224" spans="1:8" x14ac:dyDescent="0.3">
      <c r="A224" t="s">
        <v>590</v>
      </c>
      <c r="B224" t="s">
        <v>591</v>
      </c>
      <c r="C224" t="s">
        <v>497</v>
      </c>
      <c r="D224" t="s">
        <v>53</v>
      </c>
      <c r="E224" t="s">
        <v>83</v>
      </c>
      <c r="F224" t="s">
        <v>13</v>
      </c>
      <c r="G224" t="s">
        <v>40</v>
      </c>
      <c r="H224">
        <v>475</v>
      </c>
    </row>
    <row r="225" spans="1:8" x14ac:dyDescent="0.3">
      <c r="A225" t="s">
        <v>592</v>
      </c>
      <c r="B225" t="s">
        <v>593</v>
      </c>
      <c r="C225" t="s">
        <v>594</v>
      </c>
      <c r="D225" t="s">
        <v>18</v>
      </c>
      <c r="E225" t="s">
        <v>87</v>
      </c>
      <c r="F225" t="s">
        <v>13</v>
      </c>
      <c r="G225" t="s">
        <v>65</v>
      </c>
      <c r="H225">
        <v>170</v>
      </c>
    </row>
    <row r="226" spans="1:8" x14ac:dyDescent="0.3">
      <c r="A226" t="s">
        <v>595</v>
      </c>
      <c r="B226" t="s">
        <v>596</v>
      </c>
      <c r="C226" t="s">
        <v>597</v>
      </c>
      <c r="D226" t="s">
        <v>29</v>
      </c>
      <c r="E226" t="s">
        <v>30</v>
      </c>
      <c r="F226" t="s">
        <v>24</v>
      </c>
      <c r="G226" t="s">
        <v>40</v>
      </c>
      <c r="H226">
        <v>148.5</v>
      </c>
    </row>
    <row r="227" spans="1:8" x14ac:dyDescent="0.3">
      <c r="A227" t="s">
        <v>598</v>
      </c>
      <c r="B227" t="s">
        <v>436</v>
      </c>
      <c r="C227" t="s">
        <v>273</v>
      </c>
      <c r="D227" t="s">
        <v>53</v>
      </c>
      <c r="E227" t="s">
        <v>76</v>
      </c>
      <c r="F227" t="s">
        <v>13</v>
      </c>
      <c r="G227" t="s">
        <v>25</v>
      </c>
      <c r="H227">
        <v>226</v>
      </c>
    </row>
    <row r="228" spans="1:8" x14ac:dyDescent="0.3">
      <c r="A228" t="s">
        <v>599</v>
      </c>
      <c r="B228" t="s">
        <v>600</v>
      </c>
      <c r="C228" t="s">
        <v>601</v>
      </c>
      <c r="D228" t="s">
        <v>35</v>
      </c>
      <c r="E228" t="s">
        <v>44</v>
      </c>
      <c r="F228" t="s">
        <v>13</v>
      </c>
      <c r="G228" t="s">
        <v>25</v>
      </c>
      <c r="H228">
        <v>100</v>
      </c>
    </row>
    <row r="229" spans="1:8" x14ac:dyDescent="0.3">
      <c r="A229" t="s">
        <v>602</v>
      </c>
      <c r="B229" t="s">
        <v>484</v>
      </c>
      <c r="C229" t="s">
        <v>167</v>
      </c>
      <c r="D229" t="s">
        <v>53</v>
      </c>
      <c r="E229" t="s">
        <v>45</v>
      </c>
      <c r="F229" t="s">
        <v>13</v>
      </c>
      <c r="G229" t="s">
        <v>40</v>
      </c>
      <c r="H229">
        <v>375</v>
      </c>
    </row>
    <row r="230" spans="1:8" x14ac:dyDescent="0.3">
      <c r="A230" t="s">
        <v>603</v>
      </c>
      <c r="B230" t="s">
        <v>604</v>
      </c>
      <c r="C230" t="s">
        <v>491</v>
      </c>
      <c r="D230" t="s">
        <v>29</v>
      </c>
      <c r="E230" t="s">
        <v>49</v>
      </c>
      <c r="F230" t="s">
        <v>13</v>
      </c>
      <c r="G230" t="s">
        <v>40</v>
      </c>
      <c r="H230">
        <v>648</v>
      </c>
    </row>
    <row r="231" spans="1:8" x14ac:dyDescent="0.3">
      <c r="A231" t="s">
        <v>605</v>
      </c>
      <c r="B231" t="s">
        <v>509</v>
      </c>
      <c r="C231" t="s">
        <v>290</v>
      </c>
      <c r="D231" t="s">
        <v>35</v>
      </c>
      <c r="E231" t="s">
        <v>45</v>
      </c>
      <c r="F231" t="s">
        <v>13</v>
      </c>
      <c r="G231" t="s">
        <v>65</v>
      </c>
      <c r="H231" t="s">
        <v>45</v>
      </c>
    </row>
    <row r="232" spans="1:8" x14ac:dyDescent="0.3">
      <c r="A232" t="s">
        <v>606</v>
      </c>
      <c r="B232" t="s">
        <v>607</v>
      </c>
      <c r="C232" t="s">
        <v>196</v>
      </c>
      <c r="D232" t="s">
        <v>29</v>
      </c>
      <c r="E232" t="s">
        <v>123</v>
      </c>
      <c r="F232" t="s">
        <v>13</v>
      </c>
      <c r="G232" t="s">
        <v>14</v>
      </c>
      <c r="H232">
        <v>270</v>
      </c>
    </row>
    <row r="233" spans="1:8" x14ac:dyDescent="0.3">
      <c r="A233" t="s">
        <v>608</v>
      </c>
      <c r="B233" t="s">
        <v>609</v>
      </c>
      <c r="C233" t="s">
        <v>610</v>
      </c>
      <c r="D233" t="s">
        <v>157</v>
      </c>
      <c r="E233" t="s">
        <v>76</v>
      </c>
      <c r="F233" t="s">
        <v>13</v>
      </c>
      <c r="G233" t="s">
        <v>14</v>
      </c>
      <c r="H233">
        <v>295</v>
      </c>
    </row>
    <row r="234" spans="1:8" x14ac:dyDescent="0.3">
      <c r="A234" t="s">
        <v>611</v>
      </c>
      <c r="B234" t="s">
        <v>612</v>
      </c>
      <c r="C234" t="s">
        <v>597</v>
      </c>
      <c r="D234" t="s">
        <v>53</v>
      </c>
      <c r="E234" t="s">
        <v>104</v>
      </c>
      <c r="F234" t="s">
        <v>24</v>
      </c>
      <c r="G234" t="s">
        <v>25</v>
      </c>
      <c r="H234">
        <v>104.4</v>
      </c>
    </row>
    <row r="235" spans="1:8" x14ac:dyDescent="0.3">
      <c r="A235" t="s">
        <v>613</v>
      </c>
      <c r="B235" t="s">
        <v>614</v>
      </c>
      <c r="C235" t="s">
        <v>615</v>
      </c>
      <c r="D235" t="s">
        <v>29</v>
      </c>
      <c r="E235" t="s">
        <v>123</v>
      </c>
      <c r="F235" t="s">
        <v>13</v>
      </c>
      <c r="G235" t="s">
        <v>65</v>
      </c>
      <c r="H235">
        <v>150</v>
      </c>
    </row>
    <row r="236" spans="1:8" x14ac:dyDescent="0.3">
      <c r="A236" t="s">
        <v>616</v>
      </c>
      <c r="B236" t="s">
        <v>617</v>
      </c>
      <c r="C236" t="s">
        <v>45</v>
      </c>
      <c r="D236" t="s">
        <v>53</v>
      </c>
      <c r="E236" t="s">
        <v>138</v>
      </c>
      <c r="F236" t="s">
        <v>24</v>
      </c>
      <c r="G236" t="s">
        <v>25</v>
      </c>
      <c r="H236">
        <v>567</v>
      </c>
    </row>
    <row r="237" spans="1:8" x14ac:dyDescent="0.3">
      <c r="A237" t="s">
        <v>618</v>
      </c>
      <c r="B237" t="s">
        <v>619</v>
      </c>
      <c r="C237" t="s">
        <v>620</v>
      </c>
      <c r="D237" t="s">
        <v>53</v>
      </c>
      <c r="E237" t="s">
        <v>76</v>
      </c>
      <c r="F237" t="s">
        <v>24</v>
      </c>
      <c r="G237" t="s">
        <v>14</v>
      </c>
      <c r="H237">
        <v>385.2</v>
      </c>
    </row>
    <row r="238" spans="1:8" x14ac:dyDescent="0.3">
      <c r="A238" t="s">
        <v>618</v>
      </c>
      <c r="B238" t="s">
        <v>619</v>
      </c>
      <c r="C238" t="s">
        <v>620</v>
      </c>
      <c r="D238" t="s">
        <v>53</v>
      </c>
      <c r="E238" t="s">
        <v>76</v>
      </c>
      <c r="F238" t="s">
        <v>24</v>
      </c>
      <c r="G238" t="s">
        <v>14</v>
      </c>
      <c r="H238">
        <v>385.2</v>
      </c>
    </row>
    <row r="239" spans="1:8" x14ac:dyDescent="0.3">
      <c r="A239" t="s">
        <v>621</v>
      </c>
      <c r="B239" t="s">
        <v>45</v>
      </c>
      <c r="C239" t="s">
        <v>474</v>
      </c>
      <c r="D239" t="s">
        <v>35</v>
      </c>
      <c r="E239" t="s">
        <v>140</v>
      </c>
      <c r="F239" t="s">
        <v>158</v>
      </c>
      <c r="G239" t="s">
        <v>40</v>
      </c>
      <c r="H239">
        <v>442.7</v>
      </c>
    </row>
    <row r="240" spans="1:8" x14ac:dyDescent="0.3">
      <c r="A240" t="s">
        <v>621</v>
      </c>
      <c r="B240" t="s">
        <v>622</v>
      </c>
      <c r="C240" t="s">
        <v>474</v>
      </c>
      <c r="D240" t="s">
        <v>35</v>
      </c>
      <c r="E240" t="s">
        <v>140</v>
      </c>
      <c r="F240" t="s">
        <v>158</v>
      </c>
      <c r="G240" t="s">
        <v>40</v>
      </c>
      <c r="H240">
        <v>442.7</v>
      </c>
    </row>
    <row r="241" spans="1:8" x14ac:dyDescent="0.3">
      <c r="A241" t="s">
        <v>623</v>
      </c>
      <c r="B241" t="s">
        <v>45</v>
      </c>
      <c r="C241" t="s">
        <v>22</v>
      </c>
      <c r="D241" t="s">
        <v>29</v>
      </c>
      <c r="E241" t="s">
        <v>49</v>
      </c>
      <c r="F241" t="s">
        <v>31</v>
      </c>
      <c r="G241" t="s">
        <v>268</v>
      </c>
      <c r="H241">
        <v>47.5</v>
      </c>
    </row>
    <row r="242" spans="1:8" x14ac:dyDescent="0.3">
      <c r="A242" t="s">
        <v>624</v>
      </c>
      <c r="B242" t="s">
        <v>625</v>
      </c>
      <c r="C242" t="s">
        <v>45</v>
      </c>
      <c r="D242" t="s">
        <v>53</v>
      </c>
      <c r="E242" t="s">
        <v>104</v>
      </c>
      <c r="F242" t="s">
        <v>13</v>
      </c>
      <c r="G242" t="s">
        <v>14</v>
      </c>
      <c r="H242">
        <v>80</v>
      </c>
    </row>
    <row r="243" spans="1:8" x14ac:dyDescent="0.3">
      <c r="A243" t="s">
        <v>626</v>
      </c>
      <c r="B243" t="s">
        <v>627</v>
      </c>
      <c r="C243" t="s">
        <v>303</v>
      </c>
      <c r="D243" t="s">
        <v>18</v>
      </c>
      <c r="E243" t="s">
        <v>12</v>
      </c>
      <c r="F243" t="s">
        <v>13</v>
      </c>
      <c r="G243" t="s">
        <v>40</v>
      </c>
      <c r="H243">
        <v>220</v>
      </c>
    </row>
    <row r="244" spans="1:8" x14ac:dyDescent="0.3">
      <c r="A244" t="s">
        <v>628</v>
      </c>
      <c r="B244" t="s">
        <v>629</v>
      </c>
      <c r="C244" t="s">
        <v>161</v>
      </c>
      <c r="D244" t="s">
        <v>29</v>
      </c>
      <c r="E244" t="s">
        <v>123</v>
      </c>
      <c r="F244" t="s">
        <v>13</v>
      </c>
      <c r="G244" t="s">
        <v>14</v>
      </c>
      <c r="H244">
        <v>386</v>
      </c>
    </row>
    <row r="245" spans="1:8" x14ac:dyDescent="0.3">
      <c r="A245" t="s">
        <v>45</v>
      </c>
      <c r="B245" t="s">
        <v>630</v>
      </c>
      <c r="C245" t="s">
        <v>396</v>
      </c>
      <c r="D245" t="s">
        <v>157</v>
      </c>
      <c r="E245" t="s">
        <v>83</v>
      </c>
      <c r="F245" t="s">
        <v>13</v>
      </c>
      <c r="G245" t="s">
        <v>65</v>
      </c>
      <c r="H245">
        <v>70</v>
      </c>
    </row>
    <row r="246" spans="1:8" x14ac:dyDescent="0.3">
      <c r="A246" t="s">
        <v>631</v>
      </c>
      <c r="B246" t="s">
        <v>632</v>
      </c>
      <c r="C246" t="s">
        <v>155</v>
      </c>
      <c r="D246" t="s">
        <v>35</v>
      </c>
      <c r="E246" t="s">
        <v>36</v>
      </c>
      <c r="F246" t="s">
        <v>13</v>
      </c>
      <c r="G246" t="s">
        <v>65</v>
      </c>
      <c r="H246">
        <v>366</v>
      </c>
    </row>
    <row r="247" spans="1:8" x14ac:dyDescent="0.3">
      <c r="A247" t="s">
        <v>45</v>
      </c>
      <c r="B247" t="s">
        <v>633</v>
      </c>
      <c r="C247" t="s">
        <v>634</v>
      </c>
      <c r="D247" t="s">
        <v>45</v>
      </c>
      <c r="E247" t="s">
        <v>30</v>
      </c>
      <c r="F247" t="s">
        <v>54</v>
      </c>
      <c r="G247" t="s">
        <v>31</v>
      </c>
      <c r="H247">
        <v>85</v>
      </c>
    </row>
    <row r="248" spans="1:8" x14ac:dyDescent="0.3">
      <c r="A248" t="s">
        <v>635</v>
      </c>
      <c r="B248" t="s">
        <v>51</v>
      </c>
      <c r="C248" t="s">
        <v>457</v>
      </c>
      <c r="D248" t="s">
        <v>18</v>
      </c>
      <c r="E248" t="s">
        <v>19</v>
      </c>
      <c r="F248" t="s">
        <v>13</v>
      </c>
      <c r="G248" t="s">
        <v>14</v>
      </c>
      <c r="H248" t="s">
        <v>45</v>
      </c>
    </row>
    <row r="249" spans="1:8" x14ac:dyDescent="0.3">
      <c r="A249" t="s">
        <v>636</v>
      </c>
      <c r="B249" t="s">
        <v>637</v>
      </c>
      <c r="C249" t="s">
        <v>520</v>
      </c>
      <c r="D249" t="s">
        <v>18</v>
      </c>
      <c r="E249" t="s">
        <v>23</v>
      </c>
      <c r="F249" t="s">
        <v>24</v>
      </c>
      <c r="G249" t="s">
        <v>65</v>
      </c>
      <c r="H249">
        <v>520.20000000000005</v>
      </c>
    </row>
    <row r="250" spans="1:8" x14ac:dyDescent="0.3">
      <c r="A250" t="s">
        <v>638</v>
      </c>
      <c r="B250" t="s">
        <v>639</v>
      </c>
      <c r="C250" t="s">
        <v>474</v>
      </c>
      <c r="D250" t="s">
        <v>157</v>
      </c>
      <c r="E250" t="s">
        <v>104</v>
      </c>
      <c r="F250" t="s">
        <v>158</v>
      </c>
      <c r="G250" t="s">
        <v>25</v>
      </c>
      <c r="H250">
        <v>90.25</v>
      </c>
    </row>
    <row r="251" spans="1:8" x14ac:dyDescent="0.3">
      <c r="A251" t="s">
        <v>640</v>
      </c>
      <c r="B251" t="s">
        <v>31</v>
      </c>
      <c r="C251" t="s">
        <v>641</v>
      </c>
      <c r="D251" t="s">
        <v>18</v>
      </c>
      <c r="E251" t="s">
        <v>12</v>
      </c>
      <c r="F251" t="s">
        <v>13</v>
      </c>
      <c r="G251" t="s">
        <v>65</v>
      </c>
      <c r="H251">
        <v>195</v>
      </c>
    </row>
    <row r="252" spans="1:8" x14ac:dyDescent="0.3">
      <c r="A252" t="s">
        <v>642</v>
      </c>
      <c r="B252" t="s">
        <v>643</v>
      </c>
      <c r="C252" t="s">
        <v>644</v>
      </c>
      <c r="D252" t="s">
        <v>18</v>
      </c>
      <c r="E252" t="s">
        <v>87</v>
      </c>
      <c r="F252" t="s">
        <v>13</v>
      </c>
      <c r="G252" t="s">
        <v>25</v>
      </c>
      <c r="H252">
        <v>455</v>
      </c>
    </row>
    <row r="253" spans="1:8" x14ac:dyDescent="0.3">
      <c r="A253" t="s">
        <v>645</v>
      </c>
      <c r="B253" t="s">
        <v>646</v>
      </c>
      <c r="C253" t="s">
        <v>647</v>
      </c>
      <c r="D253" t="s">
        <v>53</v>
      </c>
      <c r="E253" t="s">
        <v>138</v>
      </c>
      <c r="F253" t="s">
        <v>24</v>
      </c>
      <c r="G253" t="s">
        <v>45</v>
      </c>
      <c r="H253">
        <v>540.9</v>
      </c>
    </row>
    <row r="254" spans="1:8" x14ac:dyDescent="0.3">
      <c r="A254" t="s">
        <v>648</v>
      </c>
      <c r="B254" t="s">
        <v>649</v>
      </c>
      <c r="C254" t="s">
        <v>75</v>
      </c>
      <c r="D254" t="s">
        <v>29</v>
      </c>
      <c r="E254" t="s">
        <v>123</v>
      </c>
      <c r="F254" t="s">
        <v>13</v>
      </c>
      <c r="G254" t="s">
        <v>65</v>
      </c>
      <c r="H254">
        <v>188</v>
      </c>
    </row>
    <row r="255" spans="1:8" x14ac:dyDescent="0.3">
      <c r="A255" t="s">
        <v>650</v>
      </c>
      <c r="B255" t="s">
        <v>651</v>
      </c>
      <c r="C255" t="s">
        <v>601</v>
      </c>
      <c r="D255" t="s">
        <v>53</v>
      </c>
      <c r="E255" t="s">
        <v>104</v>
      </c>
      <c r="F255" t="s">
        <v>24</v>
      </c>
      <c r="G255" t="s">
        <v>65</v>
      </c>
      <c r="H255">
        <v>360</v>
      </c>
    </row>
    <row r="256" spans="1:8" x14ac:dyDescent="0.3">
      <c r="A256" t="s">
        <v>650</v>
      </c>
      <c r="B256" t="s">
        <v>651</v>
      </c>
      <c r="C256" t="s">
        <v>601</v>
      </c>
      <c r="D256" t="s">
        <v>53</v>
      </c>
      <c r="E256" t="s">
        <v>104</v>
      </c>
      <c r="F256" t="s">
        <v>24</v>
      </c>
      <c r="G256" t="s">
        <v>65</v>
      </c>
      <c r="H256">
        <v>360</v>
      </c>
    </row>
    <row r="257" spans="1:8" x14ac:dyDescent="0.3">
      <c r="A257" t="s">
        <v>652</v>
      </c>
      <c r="B257" t="s">
        <v>653</v>
      </c>
      <c r="C257" t="s">
        <v>82</v>
      </c>
      <c r="D257" t="s">
        <v>35</v>
      </c>
      <c r="E257" t="s">
        <v>654</v>
      </c>
      <c r="F257" t="s">
        <v>13</v>
      </c>
      <c r="G257" t="s">
        <v>65</v>
      </c>
      <c r="H257">
        <v>530</v>
      </c>
    </row>
    <row r="258" spans="1:8" x14ac:dyDescent="0.3">
      <c r="A258" t="s">
        <v>655</v>
      </c>
      <c r="B258" t="s">
        <v>656</v>
      </c>
      <c r="C258" t="s">
        <v>34</v>
      </c>
      <c r="D258" t="s">
        <v>53</v>
      </c>
      <c r="E258" t="s">
        <v>104</v>
      </c>
      <c r="F258" t="s">
        <v>13</v>
      </c>
      <c r="G258" t="s">
        <v>65</v>
      </c>
      <c r="H258">
        <v>699</v>
      </c>
    </row>
    <row r="259" spans="1:8" x14ac:dyDescent="0.3">
      <c r="A259" t="s">
        <v>657</v>
      </c>
      <c r="B259" t="s">
        <v>45</v>
      </c>
      <c r="C259" t="s">
        <v>658</v>
      </c>
      <c r="D259" t="s">
        <v>53</v>
      </c>
      <c r="E259" t="s">
        <v>138</v>
      </c>
      <c r="F259" t="s">
        <v>24</v>
      </c>
      <c r="G259" t="s">
        <v>25</v>
      </c>
      <c r="H259">
        <v>379.8</v>
      </c>
    </row>
    <row r="260" spans="1:8" x14ac:dyDescent="0.3">
      <c r="A260" t="s">
        <v>659</v>
      </c>
      <c r="B260" t="s">
        <v>660</v>
      </c>
      <c r="C260" t="s">
        <v>292</v>
      </c>
      <c r="D260" t="s">
        <v>53</v>
      </c>
      <c r="E260" t="s">
        <v>104</v>
      </c>
      <c r="F260" t="s">
        <v>13</v>
      </c>
      <c r="G260" t="s">
        <v>14</v>
      </c>
      <c r="H260">
        <v>174</v>
      </c>
    </row>
    <row r="261" spans="1:8" x14ac:dyDescent="0.3">
      <c r="A261" t="s">
        <v>661</v>
      </c>
      <c r="B261" t="s">
        <v>662</v>
      </c>
      <c r="C261" t="s">
        <v>663</v>
      </c>
      <c r="D261" t="s">
        <v>35</v>
      </c>
      <c r="E261" t="s">
        <v>72</v>
      </c>
      <c r="F261" t="s">
        <v>13</v>
      </c>
      <c r="G261" t="s">
        <v>65</v>
      </c>
      <c r="H261">
        <v>160</v>
      </c>
    </row>
    <row r="262" spans="1:8" x14ac:dyDescent="0.3">
      <c r="A262" t="s">
        <v>664</v>
      </c>
      <c r="B262" t="s">
        <v>665</v>
      </c>
      <c r="C262" t="s">
        <v>152</v>
      </c>
      <c r="D262" t="s">
        <v>35</v>
      </c>
      <c r="E262" t="s">
        <v>44</v>
      </c>
      <c r="F262" t="s">
        <v>13</v>
      </c>
      <c r="G262" t="s">
        <v>14</v>
      </c>
      <c r="H262">
        <v>610</v>
      </c>
    </row>
    <row r="263" spans="1:8" x14ac:dyDescent="0.3">
      <c r="A263" t="s">
        <v>666</v>
      </c>
      <c r="B263" t="s">
        <v>667</v>
      </c>
      <c r="C263" t="s">
        <v>668</v>
      </c>
      <c r="D263" t="s">
        <v>29</v>
      </c>
      <c r="E263" t="s">
        <v>49</v>
      </c>
      <c r="F263" t="s">
        <v>13</v>
      </c>
      <c r="G263" t="s">
        <v>40</v>
      </c>
      <c r="H263" t="s">
        <v>45</v>
      </c>
    </row>
    <row r="264" spans="1:8" x14ac:dyDescent="0.3">
      <c r="A264" t="s">
        <v>669</v>
      </c>
      <c r="B264" t="s">
        <v>670</v>
      </c>
      <c r="C264" t="s">
        <v>671</v>
      </c>
      <c r="D264" t="s">
        <v>29</v>
      </c>
      <c r="E264" t="s">
        <v>30</v>
      </c>
      <c r="F264" t="s">
        <v>13</v>
      </c>
      <c r="G264" t="s">
        <v>65</v>
      </c>
      <c r="H264">
        <v>65</v>
      </c>
    </row>
    <row r="265" spans="1:8" x14ac:dyDescent="0.3">
      <c r="A265" t="s">
        <v>672</v>
      </c>
      <c r="B265" t="s">
        <v>673</v>
      </c>
      <c r="C265" t="s">
        <v>566</v>
      </c>
      <c r="D265" t="s">
        <v>479</v>
      </c>
      <c r="E265" t="s">
        <v>168</v>
      </c>
      <c r="F265" t="s">
        <v>158</v>
      </c>
      <c r="G265" t="s">
        <v>14</v>
      </c>
      <c r="H265">
        <v>129.19999999999999</v>
      </c>
    </row>
    <row r="266" spans="1:8" x14ac:dyDescent="0.3">
      <c r="A266" t="s">
        <v>674</v>
      </c>
      <c r="B266" t="s">
        <v>675</v>
      </c>
      <c r="C266" t="s">
        <v>610</v>
      </c>
      <c r="D266" t="s">
        <v>53</v>
      </c>
      <c r="E266" t="s">
        <v>76</v>
      </c>
      <c r="F266" t="s">
        <v>45</v>
      </c>
      <c r="G266" t="s">
        <v>45</v>
      </c>
      <c r="H266">
        <v>202.5</v>
      </c>
    </row>
    <row r="267" spans="1:8" x14ac:dyDescent="0.3">
      <c r="A267" t="s">
        <v>676</v>
      </c>
      <c r="B267" t="s">
        <v>677</v>
      </c>
      <c r="C267" t="s">
        <v>325</v>
      </c>
      <c r="D267" t="s">
        <v>29</v>
      </c>
      <c r="E267" t="s">
        <v>200</v>
      </c>
      <c r="F267" t="s">
        <v>13</v>
      </c>
      <c r="G267" t="s">
        <v>14</v>
      </c>
      <c r="H267">
        <v>386</v>
      </c>
    </row>
    <row r="268" spans="1:8" x14ac:dyDescent="0.3">
      <c r="A268" t="s">
        <v>678</v>
      </c>
      <c r="B268" t="s">
        <v>679</v>
      </c>
      <c r="C268" t="s">
        <v>381</v>
      </c>
      <c r="D268" t="s">
        <v>18</v>
      </c>
      <c r="E268" t="s">
        <v>295</v>
      </c>
      <c r="F268" t="s">
        <v>24</v>
      </c>
      <c r="G268" t="s">
        <v>40</v>
      </c>
      <c r="H268">
        <v>294.3</v>
      </c>
    </row>
    <row r="269" spans="1:8" x14ac:dyDescent="0.3">
      <c r="A269" t="s">
        <v>680</v>
      </c>
      <c r="B269" t="s">
        <v>45</v>
      </c>
      <c r="C269" t="s">
        <v>681</v>
      </c>
      <c r="D269" t="s">
        <v>53</v>
      </c>
      <c r="E269" t="s">
        <v>104</v>
      </c>
      <c r="F269" t="s">
        <v>13</v>
      </c>
      <c r="G269" t="s">
        <v>14</v>
      </c>
      <c r="H269">
        <v>610</v>
      </c>
    </row>
    <row r="270" spans="1:8" x14ac:dyDescent="0.3">
      <c r="A270" t="s">
        <v>682</v>
      </c>
      <c r="B270" t="s">
        <v>683</v>
      </c>
      <c r="C270" t="s">
        <v>610</v>
      </c>
      <c r="D270" t="s">
        <v>29</v>
      </c>
      <c r="E270" t="s">
        <v>200</v>
      </c>
      <c r="F270" t="s">
        <v>13</v>
      </c>
      <c r="G270" t="s">
        <v>65</v>
      </c>
      <c r="H270">
        <v>460</v>
      </c>
    </row>
    <row r="271" spans="1:8" x14ac:dyDescent="0.3">
      <c r="A271" t="s">
        <v>684</v>
      </c>
      <c r="B271" t="s">
        <v>45</v>
      </c>
      <c r="C271" t="s">
        <v>95</v>
      </c>
      <c r="D271" t="s">
        <v>53</v>
      </c>
      <c r="E271" t="s">
        <v>104</v>
      </c>
      <c r="F271" t="s">
        <v>54</v>
      </c>
      <c r="G271" t="s">
        <v>40</v>
      </c>
      <c r="H271">
        <v>102</v>
      </c>
    </row>
    <row r="272" spans="1:8" x14ac:dyDescent="0.3">
      <c r="A272" t="s">
        <v>685</v>
      </c>
      <c r="B272" t="s">
        <v>514</v>
      </c>
      <c r="C272" t="s">
        <v>191</v>
      </c>
      <c r="D272" t="s">
        <v>53</v>
      </c>
      <c r="E272" t="s">
        <v>83</v>
      </c>
      <c r="F272" t="s">
        <v>158</v>
      </c>
      <c r="G272" t="s">
        <v>25</v>
      </c>
      <c r="H272">
        <v>422.75</v>
      </c>
    </row>
    <row r="273" spans="1:8" x14ac:dyDescent="0.3">
      <c r="A273" t="s">
        <v>686</v>
      </c>
      <c r="B273" t="s">
        <v>687</v>
      </c>
      <c r="C273" t="s">
        <v>177</v>
      </c>
      <c r="D273" t="s">
        <v>29</v>
      </c>
      <c r="E273" t="s">
        <v>200</v>
      </c>
      <c r="F273" t="s">
        <v>13</v>
      </c>
      <c r="G273" t="s">
        <v>14</v>
      </c>
      <c r="H273">
        <v>659</v>
      </c>
    </row>
    <row r="274" spans="1:8" x14ac:dyDescent="0.3">
      <c r="A274" t="s">
        <v>688</v>
      </c>
      <c r="B274" t="s">
        <v>689</v>
      </c>
      <c r="C274" t="s">
        <v>310</v>
      </c>
      <c r="D274" t="s">
        <v>29</v>
      </c>
      <c r="E274" t="s">
        <v>200</v>
      </c>
      <c r="F274" t="s">
        <v>13</v>
      </c>
      <c r="G274" t="s">
        <v>14</v>
      </c>
      <c r="H274">
        <v>165</v>
      </c>
    </row>
    <row r="275" spans="1:8" x14ac:dyDescent="0.3">
      <c r="A275" t="s">
        <v>690</v>
      </c>
      <c r="B275" t="s">
        <v>691</v>
      </c>
      <c r="C275" t="s">
        <v>463</v>
      </c>
      <c r="D275" t="s">
        <v>18</v>
      </c>
      <c r="E275" t="s">
        <v>87</v>
      </c>
      <c r="F275" t="s">
        <v>13</v>
      </c>
      <c r="G275" t="s">
        <v>144</v>
      </c>
      <c r="H275">
        <v>435</v>
      </c>
    </row>
    <row r="276" spans="1:8" x14ac:dyDescent="0.3">
      <c r="A276" t="s">
        <v>692</v>
      </c>
      <c r="B276" t="s">
        <v>693</v>
      </c>
      <c r="C276" t="s">
        <v>694</v>
      </c>
      <c r="D276" t="s">
        <v>479</v>
      </c>
      <c r="E276" t="s">
        <v>123</v>
      </c>
      <c r="F276" t="s">
        <v>13</v>
      </c>
      <c r="G276" t="s">
        <v>25</v>
      </c>
      <c r="H276">
        <v>293</v>
      </c>
    </row>
    <row r="277" spans="1:8" x14ac:dyDescent="0.3">
      <c r="A277" t="s">
        <v>695</v>
      </c>
      <c r="B277" t="s">
        <v>696</v>
      </c>
      <c r="C277" t="s">
        <v>697</v>
      </c>
      <c r="D277" t="s">
        <v>35</v>
      </c>
      <c r="E277" t="s">
        <v>36</v>
      </c>
      <c r="F277" t="s">
        <v>322</v>
      </c>
      <c r="G277" t="s">
        <v>25</v>
      </c>
      <c r="H277">
        <v>441</v>
      </c>
    </row>
    <row r="278" spans="1:8" x14ac:dyDescent="0.3">
      <c r="A278" t="s">
        <v>698</v>
      </c>
      <c r="B278" t="s">
        <v>699</v>
      </c>
      <c r="C278" t="s">
        <v>700</v>
      </c>
      <c r="D278" t="s">
        <v>35</v>
      </c>
      <c r="E278" t="s">
        <v>340</v>
      </c>
      <c r="F278" t="s">
        <v>64</v>
      </c>
      <c r="G278" t="s">
        <v>45</v>
      </c>
      <c r="H278">
        <v>143</v>
      </c>
    </row>
    <row r="279" spans="1:8" x14ac:dyDescent="0.3">
      <c r="A279" t="s">
        <v>701</v>
      </c>
      <c r="B279" t="s">
        <v>677</v>
      </c>
      <c r="C279" t="s">
        <v>95</v>
      </c>
      <c r="D279" t="s">
        <v>53</v>
      </c>
      <c r="E279" t="s">
        <v>104</v>
      </c>
      <c r="F279" t="s">
        <v>13</v>
      </c>
      <c r="G279" t="s">
        <v>268</v>
      </c>
      <c r="H279">
        <v>494</v>
      </c>
    </row>
    <row r="280" spans="1:8" x14ac:dyDescent="0.3">
      <c r="A280" t="s">
        <v>702</v>
      </c>
      <c r="B280" t="s">
        <v>703</v>
      </c>
      <c r="C280" t="s">
        <v>523</v>
      </c>
      <c r="D280" t="s">
        <v>53</v>
      </c>
      <c r="E280" t="s">
        <v>138</v>
      </c>
      <c r="F280" t="s">
        <v>13</v>
      </c>
      <c r="G280" t="s">
        <v>45</v>
      </c>
      <c r="H280">
        <v>453</v>
      </c>
    </row>
    <row r="281" spans="1:8" x14ac:dyDescent="0.3">
      <c r="A281" t="s">
        <v>704</v>
      </c>
      <c r="B281" t="s">
        <v>705</v>
      </c>
      <c r="C281" t="s">
        <v>706</v>
      </c>
      <c r="D281" t="s">
        <v>18</v>
      </c>
      <c r="E281" t="s">
        <v>12</v>
      </c>
      <c r="F281" t="s">
        <v>13</v>
      </c>
      <c r="G281" t="s">
        <v>40</v>
      </c>
      <c r="H281">
        <v>440</v>
      </c>
    </row>
    <row r="282" spans="1:8" x14ac:dyDescent="0.3">
      <c r="A282" t="s">
        <v>707</v>
      </c>
      <c r="B282" t="s">
        <v>708</v>
      </c>
      <c r="C282" t="s">
        <v>191</v>
      </c>
      <c r="D282" t="s">
        <v>53</v>
      </c>
      <c r="E282" t="s">
        <v>138</v>
      </c>
      <c r="F282" t="s">
        <v>158</v>
      </c>
      <c r="G282" t="s">
        <v>14</v>
      </c>
      <c r="H282">
        <v>165.3</v>
      </c>
    </row>
    <row r="283" spans="1:8" x14ac:dyDescent="0.3">
      <c r="A283" t="s">
        <v>709</v>
      </c>
      <c r="B283" t="s">
        <v>31</v>
      </c>
      <c r="C283" t="s">
        <v>710</v>
      </c>
      <c r="D283" t="s">
        <v>35</v>
      </c>
      <c r="E283" t="s">
        <v>44</v>
      </c>
      <c r="F283" t="s">
        <v>24</v>
      </c>
      <c r="G283" t="s">
        <v>65</v>
      </c>
      <c r="H283">
        <v>297</v>
      </c>
    </row>
    <row r="284" spans="1:8" x14ac:dyDescent="0.3">
      <c r="A284" t="s">
        <v>711</v>
      </c>
      <c r="B284" t="s">
        <v>712</v>
      </c>
      <c r="C284" t="s">
        <v>713</v>
      </c>
      <c r="D284" t="s">
        <v>29</v>
      </c>
      <c r="E284" t="s">
        <v>168</v>
      </c>
      <c r="F284" t="s">
        <v>13</v>
      </c>
      <c r="G284" t="s">
        <v>25</v>
      </c>
      <c r="H284">
        <v>426</v>
      </c>
    </row>
    <row r="285" spans="1:8" x14ac:dyDescent="0.3">
      <c r="A285" t="s">
        <v>714</v>
      </c>
      <c r="B285" t="s">
        <v>715</v>
      </c>
      <c r="C285" t="s">
        <v>517</v>
      </c>
      <c r="D285" t="s">
        <v>35</v>
      </c>
      <c r="E285" t="s">
        <v>140</v>
      </c>
      <c r="F285" t="s">
        <v>13</v>
      </c>
      <c r="G285" t="s">
        <v>40</v>
      </c>
      <c r="H285">
        <v>615</v>
      </c>
    </row>
    <row r="286" spans="1:8" x14ac:dyDescent="0.3">
      <c r="A286" t="s">
        <v>716</v>
      </c>
      <c r="B286" t="s">
        <v>717</v>
      </c>
      <c r="C286" t="s">
        <v>216</v>
      </c>
      <c r="D286" t="s">
        <v>18</v>
      </c>
      <c r="E286" t="s">
        <v>19</v>
      </c>
      <c r="F286" t="s">
        <v>13</v>
      </c>
      <c r="G286" t="s">
        <v>65</v>
      </c>
      <c r="H286">
        <v>290</v>
      </c>
    </row>
    <row r="287" spans="1:8" x14ac:dyDescent="0.3">
      <c r="A287" t="s">
        <v>718</v>
      </c>
      <c r="B287" t="s">
        <v>719</v>
      </c>
      <c r="C287" t="s">
        <v>255</v>
      </c>
      <c r="D287" t="s">
        <v>29</v>
      </c>
      <c r="E287" t="s">
        <v>30</v>
      </c>
      <c r="F287" t="s">
        <v>31</v>
      </c>
      <c r="G287" t="s">
        <v>65</v>
      </c>
      <c r="H287">
        <v>595</v>
      </c>
    </row>
    <row r="288" spans="1:8" x14ac:dyDescent="0.3">
      <c r="A288" t="s">
        <v>720</v>
      </c>
      <c r="B288" t="s">
        <v>721</v>
      </c>
      <c r="C288" t="s">
        <v>249</v>
      </c>
      <c r="D288" t="s">
        <v>29</v>
      </c>
      <c r="E288" t="s">
        <v>30</v>
      </c>
      <c r="F288" t="s">
        <v>13</v>
      </c>
      <c r="G288" t="s">
        <v>65</v>
      </c>
      <c r="H288">
        <v>296</v>
      </c>
    </row>
    <row r="289" spans="1:8" x14ac:dyDescent="0.3">
      <c r="A289" t="s">
        <v>722</v>
      </c>
      <c r="B289" t="s">
        <v>723</v>
      </c>
      <c r="C289" t="s">
        <v>52</v>
      </c>
      <c r="D289" t="s">
        <v>246</v>
      </c>
      <c r="E289" t="s">
        <v>340</v>
      </c>
      <c r="F289" t="s">
        <v>13</v>
      </c>
      <c r="G289" t="s">
        <v>25</v>
      </c>
      <c r="H289">
        <v>448</v>
      </c>
    </row>
    <row r="290" spans="1:8" x14ac:dyDescent="0.3">
      <c r="A290" t="s">
        <v>724</v>
      </c>
      <c r="B290" t="s">
        <v>725</v>
      </c>
      <c r="C290" t="s">
        <v>330</v>
      </c>
      <c r="D290" t="s">
        <v>35</v>
      </c>
      <c r="E290" t="s">
        <v>44</v>
      </c>
      <c r="F290" t="s">
        <v>13</v>
      </c>
      <c r="G290" t="s">
        <v>14</v>
      </c>
      <c r="H290">
        <v>110</v>
      </c>
    </row>
    <row r="291" spans="1:8" x14ac:dyDescent="0.3">
      <c r="A291" t="s">
        <v>726</v>
      </c>
      <c r="B291" t="s">
        <v>727</v>
      </c>
      <c r="C291" t="s">
        <v>728</v>
      </c>
      <c r="D291" t="s">
        <v>29</v>
      </c>
      <c r="E291" t="s">
        <v>30</v>
      </c>
      <c r="F291" t="s">
        <v>13</v>
      </c>
      <c r="G291" t="s">
        <v>65</v>
      </c>
      <c r="H291">
        <v>455</v>
      </c>
    </row>
    <row r="292" spans="1:8" x14ac:dyDescent="0.3">
      <c r="A292" t="s">
        <v>729</v>
      </c>
      <c r="B292" t="s">
        <v>730</v>
      </c>
      <c r="C292" t="s">
        <v>93</v>
      </c>
      <c r="D292" t="s">
        <v>35</v>
      </c>
      <c r="E292" t="s">
        <v>72</v>
      </c>
      <c r="F292" t="s">
        <v>13</v>
      </c>
      <c r="G292" t="s">
        <v>14</v>
      </c>
      <c r="H292">
        <v>325</v>
      </c>
    </row>
    <row r="293" spans="1:8" x14ac:dyDescent="0.3">
      <c r="A293" t="s">
        <v>731</v>
      </c>
      <c r="B293" t="s">
        <v>110</v>
      </c>
      <c r="C293" t="s">
        <v>137</v>
      </c>
      <c r="D293" t="s">
        <v>53</v>
      </c>
      <c r="E293" t="s">
        <v>104</v>
      </c>
      <c r="F293" t="s">
        <v>13</v>
      </c>
      <c r="G293" t="s">
        <v>144</v>
      </c>
      <c r="H293" t="s">
        <v>45</v>
      </c>
    </row>
    <row r="294" spans="1:8" x14ac:dyDescent="0.3">
      <c r="A294" t="s">
        <v>732</v>
      </c>
      <c r="B294" t="s">
        <v>733</v>
      </c>
      <c r="C294" t="s">
        <v>534</v>
      </c>
      <c r="D294" t="s">
        <v>53</v>
      </c>
      <c r="E294" t="s">
        <v>76</v>
      </c>
      <c r="F294" t="s">
        <v>24</v>
      </c>
      <c r="G294" t="s">
        <v>14</v>
      </c>
      <c r="H294">
        <v>713.7</v>
      </c>
    </row>
    <row r="295" spans="1:8" x14ac:dyDescent="0.3">
      <c r="A295" t="s">
        <v>734</v>
      </c>
      <c r="B295" t="s">
        <v>735</v>
      </c>
      <c r="C295" t="s">
        <v>736</v>
      </c>
      <c r="D295" t="s">
        <v>29</v>
      </c>
      <c r="E295" t="s">
        <v>200</v>
      </c>
      <c r="F295" t="s">
        <v>64</v>
      </c>
      <c r="G295" t="s">
        <v>14</v>
      </c>
      <c r="H295">
        <v>225</v>
      </c>
    </row>
    <row r="296" spans="1:8" x14ac:dyDescent="0.3">
      <c r="A296" t="s">
        <v>737</v>
      </c>
      <c r="B296" t="s">
        <v>738</v>
      </c>
      <c r="C296" t="s">
        <v>411</v>
      </c>
      <c r="D296" t="s">
        <v>53</v>
      </c>
      <c r="E296" t="s">
        <v>118</v>
      </c>
      <c r="F296" t="s">
        <v>13</v>
      </c>
      <c r="G296" t="s">
        <v>65</v>
      </c>
      <c r="H296">
        <v>355</v>
      </c>
    </row>
    <row r="297" spans="1:8" x14ac:dyDescent="0.3">
      <c r="A297" t="s">
        <v>739</v>
      </c>
      <c r="B297" t="s">
        <v>740</v>
      </c>
      <c r="C297" t="s">
        <v>98</v>
      </c>
      <c r="D297" t="s">
        <v>53</v>
      </c>
      <c r="E297" t="s">
        <v>83</v>
      </c>
      <c r="F297" t="s">
        <v>13</v>
      </c>
      <c r="G297" t="s">
        <v>65</v>
      </c>
      <c r="H297">
        <v>170</v>
      </c>
    </row>
    <row r="298" spans="1:8" x14ac:dyDescent="0.3">
      <c r="A298" t="s">
        <v>741</v>
      </c>
      <c r="B298" t="s">
        <v>742</v>
      </c>
      <c r="C298" t="s">
        <v>743</v>
      </c>
      <c r="D298" t="s">
        <v>29</v>
      </c>
      <c r="E298" t="s">
        <v>123</v>
      </c>
      <c r="F298" t="s">
        <v>13</v>
      </c>
      <c r="G298" t="s">
        <v>25</v>
      </c>
      <c r="H298">
        <v>190</v>
      </c>
    </row>
    <row r="299" spans="1:8" x14ac:dyDescent="0.3">
      <c r="A299" t="s">
        <v>744</v>
      </c>
      <c r="B299" t="s">
        <v>745</v>
      </c>
      <c r="C299" t="s">
        <v>45</v>
      </c>
      <c r="D299" t="s">
        <v>18</v>
      </c>
      <c r="E299" t="s">
        <v>12</v>
      </c>
      <c r="F299" t="s">
        <v>24</v>
      </c>
      <c r="G299" t="s">
        <v>65</v>
      </c>
      <c r="H299">
        <v>367.2</v>
      </c>
    </row>
    <row r="300" spans="1:8" x14ac:dyDescent="0.3">
      <c r="A300" t="s">
        <v>746</v>
      </c>
      <c r="B300" t="s">
        <v>747</v>
      </c>
      <c r="C300" t="s">
        <v>748</v>
      </c>
      <c r="D300" t="s">
        <v>35</v>
      </c>
      <c r="E300" t="s">
        <v>340</v>
      </c>
      <c r="F300" t="s">
        <v>13</v>
      </c>
      <c r="G300" t="s">
        <v>25</v>
      </c>
      <c r="H300">
        <v>120</v>
      </c>
    </row>
    <row r="301" spans="1:8" x14ac:dyDescent="0.3">
      <c r="A301" t="s">
        <v>749</v>
      </c>
      <c r="B301" t="s">
        <v>288</v>
      </c>
      <c r="C301" t="s">
        <v>543</v>
      </c>
      <c r="D301" t="s">
        <v>53</v>
      </c>
      <c r="E301" t="s">
        <v>76</v>
      </c>
      <c r="F301" t="s">
        <v>158</v>
      </c>
      <c r="G301" t="s">
        <v>65</v>
      </c>
      <c r="H301">
        <v>302.10000000000002</v>
      </c>
    </row>
    <row r="302" spans="1:8" x14ac:dyDescent="0.3">
      <c r="A302" t="s">
        <v>750</v>
      </c>
      <c r="B302" t="s">
        <v>708</v>
      </c>
      <c r="C302" t="s">
        <v>298</v>
      </c>
      <c r="D302" t="s">
        <v>31</v>
      </c>
      <c r="E302" t="s">
        <v>200</v>
      </c>
      <c r="F302" t="s">
        <v>13</v>
      </c>
      <c r="G302" t="s">
        <v>40</v>
      </c>
      <c r="H302">
        <v>85</v>
      </c>
    </row>
    <row r="303" spans="1:8" x14ac:dyDescent="0.3">
      <c r="A303" t="s">
        <v>45</v>
      </c>
      <c r="B303" t="s">
        <v>751</v>
      </c>
      <c r="C303" t="s">
        <v>343</v>
      </c>
      <c r="D303" t="s">
        <v>53</v>
      </c>
      <c r="E303" t="s">
        <v>31</v>
      </c>
      <c r="F303" t="s">
        <v>158</v>
      </c>
      <c r="G303" t="s">
        <v>40</v>
      </c>
      <c r="H303">
        <v>357.2</v>
      </c>
    </row>
    <row r="304" spans="1:8" x14ac:dyDescent="0.3">
      <c r="A304" t="s">
        <v>752</v>
      </c>
      <c r="B304" t="s">
        <v>753</v>
      </c>
      <c r="C304" t="s">
        <v>754</v>
      </c>
      <c r="D304" t="s">
        <v>35</v>
      </c>
      <c r="E304" t="s">
        <v>36</v>
      </c>
      <c r="F304" t="s">
        <v>13</v>
      </c>
      <c r="G304" t="s">
        <v>14</v>
      </c>
      <c r="H304">
        <v>55</v>
      </c>
    </row>
    <row r="305" spans="1:8" x14ac:dyDescent="0.3">
      <c r="A305" t="s">
        <v>755</v>
      </c>
      <c r="B305" t="s">
        <v>756</v>
      </c>
      <c r="C305" t="s">
        <v>147</v>
      </c>
      <c r="D305" t="s">
        <v>18</v>
      </c>
      <c r="E305" t="s">
        <v>12</v>
      </c>
      <c r="F305" t="s">
        <v>158</v>
      </c>
      <c r="G305" t="s">
        <v>65</v>
      </c>
      <c r="H305">
        <v>432.25</v>
      </c>
    </row>
    <row r="306" spans="1:8" x14ac:dyDescent="0.3">
      <c r="A306" t="s">
        <v>757</v>
      </c>
      <c r="B306" t="s">
        <v>758</v>
      </c>
      <c r="C306" t="s">
        <v>45</v>
      </c>
      <c r="D306" t="s">
        <v>479</v>
      </c>
      <c r="E306" t="s">
        <v>49</v>
      </c>
      <c r="F306" t="s">
        <v>13</v>
      </c>
      <c r="G306" t="s">
        <v>65</v>
      </c>
      <c r="H306">
        <v>376</v>
      </c>
    </row>
    <row r="307" spans="1:8" x14ac:dyDescent="0.3">
      <c r="A307" t="s">
        <v>759</v>
      </c>
      <c r="B307" t="s">
        <v>653</v>
      </c>
      <c r="C307" t="s">
        <v>760</v>
      </c>
      <c r="D307" t="s">
        <v>29</v>
      </c>
      <c r="E307" t="s">
        <v>123</v>
      </c>
      <c r="F307" t="s">
        <v>13</v>
      </c>
      <c r="G307" t="s">
        <v>65</v>
      </c>
      <c r="H307">
        <v>374</v>
      </c>
    </row>
    <row r="308" spans="1:8" x14ac:dyDescent="0.3">
      <c r="A308" t="s">
        <v>761</v>
      </c>
      <c r="B308" t="s">
        <v>677</v>
      </c>
      <c r="C308" t="s">
        <v>400</v>
      </c>
      <c r="D308" t="s">
        <v>53</v>
      </c>
      <c r="E308" t="s">
        <v>118</v>
      </c>
      <c r="F308" t="s">
        <v>13</v>
      </c>
      <c r="G308" t="s">
        <v>45</v>
      </c>
      <c r="H308">
        <v>410</v>
      </c>
    </row>
    <row r="309" spans="1:8" x14ac:dyDescent="0.3">
      <c r="A309" t="s">
        <v>762</v>
      </c>
      <c r="B309" t="s">
        <v>763</v>
      </c>
      <c r="C309" t="s">
        <v>594</v>
      </c>
      <c r="D309" t="s">
        <v>18</v>
      </c>
      <c r="E309" t="s">
        <v>295</v>
      </c>
      <c r="F309" t="s">
        <v>13</v>
      </c>
      <c r="G309" t="s">
        <v>25</v>
      </c>
      <c r="H309">
        <v>70</v>
      </c>
    </row>
    <row r="310" spans="1:8" x14ac:dyDescent="0.3">
      <c r="A310" t="s">
        <v>764</v>
      </c>
      <c r="B310" t="s">
        <v>765</v>
      </c>
      <c r="C310" t="s">
        <v>766</v>
      </c>
      <c r="D310" t="s">
        <v>29</v>
      </c>
      <c r="E310" t="s">
        <v>30</v>
      </c>
      <c r="F310" t="s">
        <v>13</v>
      </c>
      <c r="G310" t="s">
        <v>65</v>
      </c>
      <c r="H310">
        <v>424</v>
      </c>
    </row>
    <row r="311" spans="1:8" x14ac:dyDescent="0.3">
      <c r="A311" t="s">
        <v>767</v>
      </c>
      <c r="B311" t="s">
        <v>768</v>
      </c>
      <c r="C311" t="s">
        <v>282</v>
      </c>
      <c r="D311" t="s">
        <v>45</v>
      </c>
      <c r="E311" t="s">
        <v>200</v>
      </c>
      <c r="F311" t="s">
        <v>64</v>
      </c>
      <c r="G311" t="s">
        <v>40</v>
      </c>
      <c r="H311">
        <v>316</v>
      </c>
    </row>
    <row r="312" spans="1:8" x14ac:dyDescent="0.3">
      <c r="A312" t="s">
        <v>769</v>
      </c>
      <c r="B312" t="s">
        <v>691</v>
      </c>
      <c r="C312" t="s">
        <v>770</v>
      </c>
      <c r="D312" t="s">
        <v>31</v>
      </c>
      <c r="E312" t="s">
        <v>771</v>
      </c>
      <c r="F312" t="s">
        <v>13</v>
      </c>
      <c r="G312" t="s">
        <v>40</v>
      </c>
      <c r="H312">
        <v>413</v>
      </c>
    </row>
    <row r="313" spans="1:8" x14ac:dyDescent="0.3">
      <c r="A313" t="s">
        <v>772</v>
      </c>
      <c r="B313" t="s">
        <v>773</v>
      </c>
      <c r="C313" t="s">
        <v>308</v>
      </c>
      <c r="D313" t="s">
        <v>18</v>
      </c>
      <c r="E313" t="s">
        <v>19</v>
      </c>
      <c r="F313" t="s">
        <v>158</v>
      </c>
      <c r="G313" t="s">
        <v>25</v>
      </c>
      <c r="H313">
        <v>55.1</v>
      </c>
    </row>
    <row r="314" spans="1:8" x14ac:dyDescent="0.3">
      <c r="A314" t="s">
        <v>774</v>
      </c>
      <c r="B314" t="s">
        <v>775</v>
      </c>
      <c r="C314" t="s">
        <v>371</v>
      </c>
      <c r="D314" t="s">
        <v>35</v>
      </c>
      <c r="E314" t="s">
        <v>72</v>
      </c>
      <c r="F314" t="s">
        <v>13</v>
      </c>
      <c r="G314" t="s">
        <v>65</v>
      </c>
      <c r="H314">
        <v>395</v>
      </c>
    </row>
    <row r="315" spans="1:8" x14ac:dyDescent="0.3">
      <c r="A315" t="s">
        <v>776</v>
      </c>
      <c r="B315" t="s">
        <v>777</v>
      </c>
      <c r="C315" t="s">
        <v>75</v>
      </c>
      <c r="D315" t="s">
        <v>29</v>
      </c>
      <c r="E315" t="s">
        <v>200</v>
      </c>
      <c r="F315" t="s">
        <v>13</v>
      </c>
      <c r="G315" t="s">
        <v>40</v>
      </c>
      <c r="H315">
        <v>290</v>
      </c>
    </row>
    <row r="316" spans="1:8" x14ac:dyDescent="0.3">
      <c r="A316" t="s">
        <v>778</v>
      </c>
      <c r="B316" t="s">
        <v>612</v>
      </c>
      <c r="C316" t="s">
        <v>264</v>
      </c>
      <c r="D316" t="s">
        <v>35</v>
      </c>
      <c r="E316" t="s">
        <v>72</v>
      </c>
      <c r="F316" t="s">
        <v>13</v>
      </c>
      <c r="G316" t="s">
        <v>40</v>
      </c>
      <c r="H316">
        <v>55</v>
      </c>
    </row>
    <row r="317" spans="1:8" x14ac:dyDescent="0.3">
      <c r="A317" t="s">
        <v>31</v>
      </c>
      <c r="B317" t="s">
        <v>779</v>
      </c>
      <c r="C317" t="s">
        <v>308</v>
      </c>
      <c r="D317" t="s">
        <v>35</v>
      </c>
      <c r="E317" t="s">
        <v>36</v>
      </c>
      <c r="F317" t="s">
        <v>24</v>
      </c>
      <c r="G317" t="s">
        <v>31</v>
      </c>
      <c r="H317">
        <v>376.2</v>
      </c>
    </row>
    <row r="318" spans="1:8" x14ac:dyDescent="0.3">
      <c r="A318" t="s">
        <v>780</v>
      </c>
      <c r="B318" t="s">
        <v>781</v>
      </c>
      <c r="C318" t="s">
        <v>28</v>
      </c>
      <c r="D318" t="s">
        <v>35</v>
      </c>
      <c r="E318" t="s">
        <v>340</v>
      </c>
      <c r="F318" t="s">
        <v>13</v>
      </c>
      <c r="G318" t="s">
        <v>65</v>
      </c>
      <c r="H318">
        <v>317</v>
      </c>
    </row>
    <row r="319" spans="1:8" x14ac:dyDescent="0.3">
      <c r="A319" t="s">
        <v>782</v>
      </c>
      <c r="B319" t="s">
        <v>783</v>
      </c>
      <c r="C319" t="s">
        <v>188</v>
      </c>
      <c r="D319" t="s">
        <v>53</v>
      </c>
      <c r="E319" t="s">
        <v>104</v>
      </c>
      <c r="F319" t="s">
        <v>13</v>
      </c>
      <c r="G319" t="s">
        <v>144</v>
      </c>
      <c r="H319">
        <v>500</v>
      </c>
    </row>
    <row r="320" spans="1:8" x14ac:dyDescent="0.3">
      <c r="A320" t="s">
        <v>784</v>
      </c>
      <c r="B320" t="s">
        <v>785</v>
      </c>
      <c r="C320" t="s">
        <v>736</v>
      </c>
      <c r="D320" t="s">
        <v>35</v>
      </c>
      <c r="E320" t="s">
        <v>36</v>
      </c>
      <c r="F320" t="s">
        <v>13</v>
      </c>
      <c r="G320" t="s">
        <v>40</v>
      </c>
      <c r="H320">
        <v>360</v>
      </c>
    </row>
    <row r="321" spans="1:8" x14ac:dyDescent="0.3">
      <c r="A321" t="s">
        <v>786</v>
      </c>
      <c r="B321" t="s">
        <v>787</v>
      </c>
      <c r="C321" t="s">
        <v>647</v>
      </c>
      <c r="D321" t="s">
        <v>29</v>
      </c>
      <c r="E321" t="s">
        <v>123</v>
      </c>
      <c r="F321" t="s">
        <v>13</v>
      </c>
      <c r="G321" t="s">
        <v>14</v>
      </c>
      <c r="H321">
        <v>714</v>
      </c>
    </row>
    <row r="322" spans="1:8" x14ac:dyDescent="0.3">
      <c r="A322" t="s">
        <v>788</v>
      </c>
      <c r="B322" t="s">
        <v>789</v>
      </c>
      <c r="C322" t="s">
        <v>57</v>
      </c>
      <c r="D322" t="s">
        <v>29</v>
      </c>
      <c r="E322" t="s">
        <v>790</v>
      </c>
      <c r="F322" t="s">
        <v>13</v>
      </c>
      <c r="G322" t="s">
        <v>65</v>
      </c>
      <c r="H322">
        <v>529</v>
      </c>
    </row>
    <row r="323" spans="1:8" x14ac:dyDescent="0.3">
      <c r="A323" t="s">
        <v>791</v>
      </c>
      <c r="B323" t="s">
        <v>792</v>
      </c>
      <c r="C323" t="s">
        <v>793</v>
      </c>
      <c r="D323" t="s">
        <v>53</v>
      </c>
      <c r="E323" t="s">
        <v>83</v>
      </c>
      <c r="F323" t="s">
        <v>13</v>
      </c>
      <c r="G323" t="s">
        <v>40</v>
      </c>
      <c r="H323">
        <v>188</v>
      </c>
    </row>
    <row r="324" spans="1:8" x14ac:dyDescent="0.3">
      <c r="A324" t="s">
        <v>794</v>
      </c>
      <c r="B324" t="s">
        <v>795</v>
      </c>
      <c r="C324" t="s">
        <v>227</v>
      </c>
      <c r="D324" t="s">
        <v>35</v>
      </c>
      <c r="E324" t="s">
        <v>44</v>
      </c>
      <c r="F324" t="s">
        <v>13</v>
      </c>
      <c r="G324" t="s">
        <v>40</v>
      </c>
      <c r="H324">
        <v>85</v>
      </c>
    </row>
    <row r="325" spans="1:8" x14ac:dyDescent="0.3">
      <c r="A325" t="s">
        <v>796</v>
      </c>
      <c r="B325" t="s">
        <v>45</v>
      </c>
      <c r="C325" t="s">
        <v>147</v>
      </c>
      <c r="D325" t="s">
        <v>18</v>
      </c>
      <c r="E325" t="s">
        <v>87</v>
      </c>
      <c r="F325" t="s">
        <v>13</v>
      </c>
      <c r="G325" t="s">
        <v>65</v>
      </c>
      <c r="H325">
        <v>50</v>
      </c>
    </row>
    <row r="326" spans="1:8" x14ac:dyDescent="0.3">
      <c r="A326" t="s">
        <v>797</v>
      </c>
      <c r="B326" t="s">
        <v>667</v>
      </c>
      <c r="C326" t="s">
        <v>798</v>
      </c>
      <c r="D326" t="s">
        <v>29</v>
      </c>
      <c r="E326" t="s">
        <v>49</v>
      </c>
      <c r="F326" t="s">
        <v>64</v>
      </c>
      <c r="G326" t="s">
        <v>40</v>
      </c>
      <c r="H326">
        <v>260</v>
      </c>
    </row>
    <row r="327" spans="1:8" x14ac:dyDescent="0.3">
      <c r="A327" t="s">
        <v>799</v>
      </c>
      <c r="B327" t="s">
        <v>800</v>
      </c>
      <c r="C327" t="s">
        <v>68</v>
      </c>
      <c r="D327" t="s">
        <v>29</v>
      </c>
      <c r="E327" t="s">
        <v>200</v>
      </c>
      <c r="F327" t="s">
        <v>13</v>
      </c>
      <c r="G327" t="s">
        <v>25</v>
      </c>
      <c r="H327">
        <v>60</v>
      </c>
    </row>
    <row r="328" spans="1:8" x14ac:dyDescent="0.3">
      <c r="A328" t="s">
        <v>801</v>
      </c>
      <c r="B328" t="s">
        <v>802</v>
      </c>
      <c r="C328" t="s">
        <v>103</v>
      </c>
      <c r="D328" t="s">
        <v>479</v>
      </c>
      <c r="E328" t="s">
        <v>123</v>
      </c>
      <c r="F328" t="s">
        <v>13</v>
      </c>
      <c r="G328" t="s">
        <v>14</v>
      </c>
      <c r="H328">
        <v>140</v>
      </c>
    </row>
    <row r="329" spans="1:8" x14ac:dyDescent="0.3">
      <c r="A329" t="s">
        <v>803</v>
      </c>
      <c r="B329" t="s">
        <v>395</v>
      </c>
      <c r="C329" t="s">
        <v>482</v>
      </c>
      <c r="D329" t="s">
        <v>53</v>
      </c>
      <c r="E329" t="s">
        <v>138</v>
      </c>
      <c r="F329" t="s">
        <v>13</v>
      </c>
      <c r="G329" t="s">
        <v>25</v>
      </c>
      <c r="H329">
        <v>250</v>
      </c>
    </row>
    <row r="330" spans="1:8" x14ac:dyDescent="0.3">
      <c r="A330" t="s">
        <v>804</v>
      </c>
      <c r="B330" t="s">
        <v>805</v>
      </c>
      <c r="C330" t="s">
        <v>45</v>
      </c>
      <c r="D330" t="s">
        <v>29</v>
      </c>
      <c r="E330" t="s">
        <v>30</v>
      </c>
      <c r="F330" t="s">
        <v>13</v>
      </c>
      <c r="G330" t="s">
        <v>40</v>
      </c>
      <c r="H330">
        <v>394</v>
      </c>
    </row>
    <row r="331" spans="1:8" x14ac:dyDescent="0.3">
      <c r="A331" t="s">
        <v>806</v>
      </c>
      <c r="B331" t="s">
        <v>807</v>
      </c>
      <c r="C331" t="s">
        <v>31</v>
      </c>
      <c r="D331" t="s">
        <v>29</v>
      </c>
      <c r="E331" t="s">
        <v>123</v>
      </c>
      <c r="F331" t="s">
        <v>13</v>
      </c>
      <c r="G331" t="s">
        <v>25</v>
      </c>
      <c r="H331">
        <v>315</v>
      </c>
    </row>
    <row r="332" spans="1:8" x14ac:dyDescent="0.3">
      <c r="A332" t="s">
        <v>808</v>
      </c>
      <c r="B332" t="s">
        <v>809</v>
      </c>
      <c r="C332" t="s">
        <v>86</v>
      </c>
      <c r="D332" t="s">
        <v>35</v>
      </c>
      <c r="E332" t="s">
        <v>340</v>
      </c>
      <c r="F332" t="s">
        <v>54</v>
      </c>
      <c r="G332" t="s">
        <v>25</v>
      </c>
      <c r="H332">
        <v>115.6</v>
      </c>
    </row>
    <row r="333" spans="1:8" x14ac:dyDescent="0.3">
      <c r="A333" t="s">
        <v>810</v>
      </c>
      <c r="B333" t="s">
        <v>811</v>
      </c>
      <c r="C333" t="s">
        <v>346</v>
      </c>
      <c r="D333" t="s">
        <v>29</v>
      </c>
      <c r="E333" t="s">
        <v>200</v>
      </c>
      <c r="F333" t="s">
        <v>54</v>
      </c>
      <c r="G333" t="s">
        <v>14</v>
      </c>
      <c r="H333">
        <v>93.5</v>
      </c>
    </row>
    <row r="334" spans="1:8" x14ac:dyDescent="0.3">
      <c r="A334" t="s">
        <v>812</v>
      </c>
      <c r="B334" t="s">
        <v>45</v>
      </c>
      <c r="C334" t="s">
        <v>107</v>
      </c>
      <c r="D334" t="s">
        <v>45</v>
      </c>
      <c r="E334" t="s">
        <v>140</v>
      </c>
      <c r="F334" t="s">
        <v>24</v>
      </c>
      <c r="G334" t="s">
        <v>14</v>
      </c>
      <c r="H334">
        <v>490.5</v>
      </c>
    </row>
    <row r="335" spans="1:8" x14ac:dyDescent="0.3">
      <c r="A335" t="s">
        <v>813</v>
      </c>
      <c r="B335" t="s">
        <v>814</v>
      </c>
      <c r="C335" t="s">
        <v>316</v>
      </c>
      <c r="D335" t="s">
        <v>29</v>
      </c>
      <c r="E335" t="s">
        <v>30</v>
      </c>
      <c r="F335" t="s">
        <v>13</v>
      </c>
      <c r="G335" t="s">
        <v>65</v>
      </c>
      <c r="H335">
        <v>510</v>
      </c>
    </row>
    <row r="336" spans="1:8" x14ac:dyDescent="0.3">
      <c r="A336" t="s">
        <v>815</v>
      </c>
      <c r="B336" t="s">
        <v>612</v>
      </c>
      <c r="C336" t="s">
        <v>400</v>
      </c>
      <c r="D336" t="s">
        <v>35</v>
      </c>
      <c r="E336" t="s">
        <v>36</v>
      </c>
      <c r="F336" t="s">
        <v>13</v>
      </c>
      <c r="G336" t="s">
        <v>40</v>
      </c>
      <c r="H336">
        <v>543</v>
      </c>
    </row>
    <row r="337" spans="1:8" x14ac:dyDescent="0.3">
      <c r="A337" t="s">
        <v>816</v>
      </c>
      <c r="B337" t="s">
        <v>817</v>
      </c>
      <c r="C337" t="s">
        <v>303</v>
      </c>
      <c r="D337" t="s">
        <v>29</v>
      </c>
      <c r="E337" t="s">
        <v>123</v>
      </c>
      <c r="F337" t="s">
        <v>13</v>
      </c>
      <c r="G337" t="s">
        <v>65</v>
      </c>
      <c r="H337">
        <v>285</v>
      </c>
    </row>
    <row r="338" spans="1:8" x14ac:dyDescent="0.3">
      <c r="A338" t="s">
        <v>818</v>
      </c>
      <c r="B338" t="s">
        <v>819</v>
      </c>
      <c r="C338" t="s">
        <v>86</v>
      </c>
      <c r="D338" t="s">
        <v>53</v>
      </c>
      <c r="E338" t="s">
        <v>118</v>
      </c>
      <c r="F338" t="s">
        <v>54</v>
      </c>
      <c r="G338" t="s">
        <v>25</v>
      </c>
      <c r="H338">
        <v>382.5</v>
      </c>
    </row>
    <row r="339" spans="1:8" x14ac:dyDescent="0.3">
      <c r="A339" t="s">
        <v>820</v>
      </c>
      <c r="B339" t="s">
        <v>575</v>
      </c>
      <c r="C339" t="s">
        <v>31</v>
      </c>
      <c r="D339" t="s">
        <v>53</v>
      </c>
      <c r="E339" t="s">
        <v>118</v>
      </c>
      <c r="F339" t="s">
        <v>158</v>
      </c>
      <c r="G339" t="s">
        <v>65</v>
      </c>
      <c r="H339">
        <v>95</v>
      </c>
    </row>
    <row r="340" spans="1:8" x14ac:dyDescent="0.3">
      <c r="A340" t="s">
        <v>821</v>
      </c>
      <c r="B340" t="s">
        <v>822</v>
      </c>
      <c r="C340" t="s">
        <v>400</v>
      </c>
      <c r="D340" t="s">
        <v>53</v>
      </c>
      <c r="E340" t="s">
        <v>104</v>
      </c>
      <c r="F340" t="s">
        <v>54</v>
      </c>
      <c r="G340" t="s">
        <v>65</v>
      </c>
      <c r="H340">
        <v>136</v>
      </c>
    </row>
    <row r="341" spans="1:8" x14ac:dyDescent="0.3">
      <c r="A341" t="s">
        <v>823</v>
      </c>
      <c r="B341" t="s">
        <v>824</v>
      </c>
      <c r="C341" t="s">
        <v>825</v>
      </c>
      <c r="D341" t="s">
        <v>53</v>
      </c>
      <c r="E341" t="s">
        <v>76</v>
      </c>
      <c r="F341" t="s">
        <v>13</v>
      </c>
      <c r="G341" t="s">
        <v>25</v>
      </c>
      <c r="H341">
        <v>70</v>
      </c>
    </row>
    <row r="342" spans="1:8" x14ac:dyDescent="0.3">
      <c r="A342" t="s">
        <v>826</v>
      </c>
      <c r="B342" t="s">
        <v>727</v>
      </c>
      <c r="C342" t="s">
        <v>406</v>
      </c>
      <c r="D342" t="s">
        <v>45</v>
      </c>
      <c r="E342" t="s">
        <v>87</v>
      </c>
      <c r="F342" t="s">
        <v>13</v>
      </c>
      <c r="G342" t="s">
        <v>40</v>
      </c>
      <c r="H342">
        <v>596</v>
      </c>
    </row>
    <row r="343" spans="1:8" x14ac:dyDescent="0.3">
      <c r="A343" t="s">
        <v>827</v>
      </c>
      <c r="B343" t="s">
        <v>828</v>
      </c>
      <c r="C343" t="s">
        <v>829</v>
      </c>
      <c r="D343" t="s">
        <v>53</v>
      </c>
      <c r="E343" t="s">
        <v>104</v>
      </c>
      <c r="F343" t="s">
        <v>64</v>
      </c>
      <c r="G343" t="s">
        <v>65</v>
      </c>
      <c r="H343">
        <v>340</v>
      </c>
    </row>
    <row r="344" spans="1:8" x14ac:dyDescent="0.3">
      <c r="A344" t="s">
        <v>830</v>
      </c>
      <c r="B344" t="s">
        <v>712</v>
      </c>
      <c r="C344" t="s">
        <v>75</v>
      </c>
      <c r="D344" t="s">
        <v>31</v>
      </c>
      <c r="E344" t="s">
        <v>76</v>
      </c>
      <c r="F344" t="s">
        <v>158</v>
      </c>
      <c r="G344" t="s">
        <v>40</v>
      </c>
      <c r="H344">
        <v>231.8</v>
      </c>
    </row>
    <row r="345" spans="1:8" x14ac:dyDescent="0.3">
      <c r="A345" t="s">
        <v>831</v>
      </c>
      <c r="B345" t="s">
        <v>832</v>
      </c>
      <c r="C345" t="s">
        <v>833</v>
      </c>
      <c r="D345" t="s">
        <v>53</v>
      </c>
      <c r="E345" t="s">
        <v>76</v>
      </c>
      <c r="F345" t="s">
        <v>13</v>
      </c>
      <c r="G345" t="s">
        <v>45</v>
      </c>
      <c r="H345">
        <v>426</v>
      </c>
    </row>
    <row r="346" spans="1:8" x14ac:dyDescent="0.3">
      <c r="A346" t="s">
        <v>834</v>
      </c>
      <c r="B346" t="s">
        <v>835</v>
      </c>
      <c r="C346" t="s">
        <v>437</v>
      </c>
      <c r="D346" t="s">
        <v>53</v>
      </c>
      <c r="E346" t="s">
        <v>138</v>
      </c>
      <c r="F346" t="s">
        <v>13</v>
      </c>
      <c r="G346" t="s">
        <v>144</v>
      </c>
      <c r="H346">
        <v>470</v>
      </c>
    </row>
    <row r="347" spans="1:8" x14ac:dyDescent="0.3">
      <c r="A347" t="s">
        <v>836</v>
      </c>
      <c r="B347" t="s">
        <v>837</v>
      </c>
      <c r="C347" t="s">
        <v>503</v>
      </c>
      <c r="D347" t="s">
        <v>18</v>
      </c>
      <c r="E347" t="s">
        <v>87</v>
      </c>
      <c r="F347" t="s">
        <v>13</v>
      </c>
      <c r="G347" t="s">
        <v>14</v>
      </c>
      <c r="H347">
        <v>110</v>
      </c>
    </row>
    <row r="348" spans="1:8" x14ac:dyDescent="0.3">
      <c r="A348" t="s">
        <v>838</v>
      </c>
      <c r="B348" t="s">
        <v>31</v>
      </c>
      <c r="C348" t="s">
        <v>167</v>
      </c>
      <c r="D348" t="s">
        <v>53</v>
      </c>
      <c r="E348" t="s">
        <v>83</v>
      </c>
      <c r="F348" t="s">
        <v>13</v>
      </c>
      <c r="G348" t="s">
        <v>25</v>
      </c>
      <c r="H348">
        <v>240</v>
      </c>
    </row>
    <row r="349" spans="1:8" x14ac:dyDescent="0.3">
      <c r="A349" t="s">
        <v>839</v>
      </c>
      <c r="B349" t="s">
        <v>840</v>
      </c>
      <c r="C349" t="s">
        <v>793</v>
      </c>
      <c r="D349" t="s">
        <v>29</v>
      </c>
      <c r="E349" t="s">
        <v>168</v>
      </c>
      <c r="F349" t="s">
        <v>64</v>
      </c>
      <c r="G349" t="s">
        <v>40</v>
      </c>
      <c r="H349">
        <v>454</v>
      </c>
    </row>
    <row r="350" spans="1:8" x14ac:dyDescent="0.3">
      <c r="A350" t="s">
        <v>841</v>
      </c>
      <c r="B350" t="s">
        <v>45</v>
      </c>
      <c r="C350" t="s">
        <v>842</v>
      </c>
      <c r="D350" t="s">
        <v>29</v>
      </c>
      <c r="E350" t="s">
        <v>30</v>
      </c>
      <c r="F350" t="s">
        <v>13</v>
      </c>
      <c r="G350" t="s">
        <v>40</v>
      </c>
      <c r="H350">
        <v>510</v>
      </c>
    </row>
    <row r="351" spans="1:8" x14ac:dyDescent="0.3">
      <c r="A351" t="s">
        <v>841</v>
      </c>
      <c r="B351" t="s">
        <v>843</v>
      </c>
      <c r="C351" t="s">
        <v>842</v>
      </c>
      <c r="D351" t="s">
        <v>29</v>
      </c>
      <c r="E351" t="s">
        <v>30</v>
      </c>
      <c r="F351" t="s">
        <v>13</v>
      </c>
      <c r="G351" t="s">
        <v>40</v>
      </c>
      <c r="H351">
        <v>510</v>
      </c>
    </row>
    <row r="352" spans="1:8" x14ac:dyDescent="0.3">
      <c r="A352" t="s">
        <v>844</v>
      </c>
      <c r="B352" t="s">
        <v>130</v>
      </c>
      <c r="C352" t="s">
        <v>343</v>
      </c>
      <c r="D352" t="s">
        <v>53</v>
      </c>
      <c r="E352" t="s">
        <v>83</v>
      </c>
      <c r="F352" t="s">
        <v>31</v>
      </c>
      <c r="G352" t="s">
        <v>25</v>
      </c>
      <c r="H352">
        <v>232.75</v>
      </c>
    </row>
    <row r="353" spans="1:8" x14ac:dyDescent="0.3">
      <c r="A353" t="s">
        <v>845</v>
      </c>
      <c r="B353" t="s">
        <v>846</v>
      </c>
      <c r="C353" t="s">
        <v>245</v>
      </c>
      <c r="D353" t="s">
        <v>35</v>
      </c>
      <c r="E353" t="s">
        <v>340</v>
      </c>
      <c r="F353" t="s">
        <v>13</v>
      </c>
      <c r="G353" t="s">
        <v>40</v>
      </c>
      <c r="H353">
        <v>315</v>
      </c>
    </row>
    <row r="354" spans="1:8" x14ac:dyDescent="0.3">
      <c r="A354" t="s">
        <v>847</v>
      </c>
      <c r="B354" t="s">
        <v>848</v>
      </c>
      <c r="C354" t="s">
        <v>177</v>
      </c>
      <c r="D354" t="s">
        <v>246</v>
      </c>
      <c r="E354" t="s">
        <v>72</v>
      </c>
      <c r="F354" t="s">
        <v>13</v>
      </c>
      <c r="G354" t="s">
        <v>25</v>
      </c>
      <c r="H354">
        <v>210</v>
      </c>
    </row>
    <row r="355" spans="1:8" x14ac:dyDescent="0.3">
      <c r="A355" t="s">
        <v>849</v>
      </c>
      <c r="B355" t="s">
        <v>850</v>
      </c>
      <c r="C355" t="s">
        <v>851</v>
      </c>
      <c r="D355" t="s">
        <v>35</v>
      </c>
      <c r="E355" t="s">
        <v>340</v>
      </c>
      <c r="F355" t="s">
        <v>13</v>
      </c>
      <c r="G355" t="s">
        <v>25</v>
      </c>
      <c r="H355">
        <v>170</v>
      </c>
    </row>
    <row r="356" spans="1:8" x14ac:dyDescent="0.3">
      <c r="A356" t="s">
        <v>852</v>
      </c>
      <c r="B356" t="s">
        <v>853</v>
      </c>
      <c r="C356" t="s">
        <v>770</v>
      </c>
      <c r="D356" t="s">
        <v>29</v>
      </c>
      <c r="E356" t="s">
        <v>49</v>
      </c>
      <c r="F356" t="s">
        <v>289</v>
      </c>
      <c r="G356" t="s">
        <v>25</v>
      </c>
      <c r="H356">
        <v>171</v>
      </c>
    </row>
    <row r="357" spans="1:8" x14ac:dyDescent="0.3">
      <c r="A357" t="s">
        <v>854</v>
      </c>
      <c r="B357" t="s">
        <v>855</v>
      </c>
      <c r="C357" t="s">
        <v>856</v>
      </c>
      <c r="D357" t="s">
        <v>53</v>
      </c>
      <c r="E357" t="s">
        <v>138</v>
      </c>
      <c r="F357" t="s">
        <v>13</v>
      </c>
      <c r="G357" t="s">
        <v>14</v>
      </c>
      <c r="H357">
        <v>170</v>
      </c>
    </row>
    <row r="358" spans="1:8" x14ac:dyDescent="0.3">
      <c r="A358" t="s">
        <v>857</v>
      </c>
      <c r="B358" t="s">
        <v>858</v>
      </c>
      <c r="C358" t="s">
        <v>859</v>
      </c>
      <c r="D358" t="s">
        <v>45</v>
      </c>
      <c r="E358" t="s">
        <v>12</v>
      </c>
      <c r="F358" t="s">
        <v>158</v>
      </c>
      <c r="G358" t="s">
        <v>25</v>
      </c>
      <c r="H358">
        <v>156.75</v>
      </c>
    </row>
    <row r="359" spans="1:8" x14ac:dyDescent="0.3">
      <c r="A359" t="s">
        <v>857</v>
      </c>
      <c r="B359" t="s">
        <v>858</v>
      </c>
      <c r="C359" t="s">
        <v>203</v>
      </c>
      <c r="D359" t="s">
        <v>18</v>
      </c>
      <c r="E359" t="s">
        <v>12</v>
      </c>
      <c r="F359" t="s">
        <v>158</v>
      </c>
      <c r="G359" t="s">
        <v>25</v>
      </c>
      <c r="H359">
        <v>156.75</v>
      </c>
    </row>
    <row r="360" spans="1:8" x14ac:dyDescent="0.3">
      <c r="A360" t="s">
        <v>860</v>
      </c>
      <c r="B360" t="s">
        <v>861</v>
      </c>
      <c r="C360" t="s">
        <v>174</v>
      </c>
      <c r="D360" t="s">
        <v>35</v>
      </c>
      <c r="E360" t="s">
        <v>72</v>
      </c>
      <c r="F360" t="s">
        <v>13</v>
      </c>
      <c r="G360" t="s">
        <v>25</v>
      </c>
      <c r="H360">
        <v>355</v>
      </c>
    </row>
    <row r="361" spans="1:8" x14ac:dyDescent="0.3">
      <c r="A361" t="s">
        <v>45</v>
      </c>
      <c r="B361" t="s">
        <v>223</v>
      </c>
      <c r="C361" t="s">
        <v>793</v>
      </c>
      <c r="D361" t="s">
        <v>35</v>
      </c>
      <c r="E361" t="s">
        <v>340</v>
      </c>
      <c r="F361" t="s">
        <v>13</v>
      </c>
      <c r="G361" t="s">
        <v>65</v>
      </c>
      <c r="H361">
        <v>290</v>
      </c>
    </row>
    <row r="362" spans="1:8" x14ac:dyDescent="0.3">
      <c r="A362" t="s">
        <v>862</v>
      </c>
      <c r="B362" t="s">
        <v>863</v>
      </c>
      <c r="C362" t="s">
        <v>460</v>
      </c>
      <c r="D362" t="s">
        <v>53</v>
      </c>
      <c r="E362" t="s">
        <v>83</v>
      </c>
      <c r="F362" t="s">
        <v>13</v>
      </c>
      <c r="G362" t="s">
        <v>25</v>
      </c>
      <c r="H362">
        <v>455</v>
      </c>
    </row>
    <row r="363" spans="1:8" x14ac:dyDescent="0.3">
      <c r="A363" t="s">
        <v>864</v>
      </c>
      <c r="B363" t="s">
        <v>45</v>
      </c>
      <c r="C363" t="s">
        <v>330</v>
      </c>
      <c r="D363" t="s">
        <v>18</v>
      </c>
      <c r="E363" t="s">
        <v>12</v>
      </c>
      <c r="F363" t="s">
        <v>54</v>
      </c>
      <c r="G363" t="s">
        <v>14</v>
      </c>
      <c r="H363">
        <v>161.5</v>
      </c>
    </row>
    <row r="364" spans="1:8" x14ac:dyDescent="0.3">
      <c r="A364" t="s">
        <v>865</v>
      </c>
      <c r="B364" t="s">
        <v>45</v>
      </c>
      <c r="C364" t="s">
        <v>45</v>
      </c>
      <c r="D364" t="s">
        <v>53</v>
      </c>
      <c r="E364" t="s">
        <v>138</v>
      </c>
      <c r="F364" t="s">
        <v>13</v>
      </c>
      <c r="G364" t="s">
        <v>65</v>
      </c>
      <c r="H364">
        <v>760</v>
      </c>
    </row>
    <row r="365" spans="1:8" x14ac:dyDescent="0.3">
      <c r="A365" t="s">
        <v>866</v>
      </c>
      <c r="B365" t="s">
        <v>867</v>
      </c>
      <c r="C365" t="s">
        <v>45</v>
      </c>
      <c r="D365" t="s">
        <v>29</v>
      </c>
      <c r="E365" t="s">
        <v>49</v>
      </c>
      <c r="F365" t="s">
        <v>158</v>
      </c>
      <c r="G365" t="s">
        <v>65</v>
      </c>
      <c r="H365">
        <v>61.75</v>
      </c>
    </row>
    <row r="366" spans="1:8" x14ac:dyDescent="0.3">
      <c r="A366" t="s">
        <v>866</v>
      </c>
      <c r="B366" t="s">
        <v>867</v>
      </c>
      <c r="C366" t="s">
        <v>167</v>
      </c>
      <c r="D366" t="s">
        <v>29</v>
      </c>
      <c r="E366" t="s">
        <v>49</v>
      </c>
      <c r="F366" t="s">
        <v>158</v>
      </c>
      <c r="G366" t="s">
        <v>65</v>
      </c>
      <c r="H366">
        <v>61.75</v>
      </c>
    </row>
    <row r="367" spans="1:8" x14ac:dyDescent="0.3">
      <c r="A367" t="s">
        <v>868</v>
      </c>
      <c r="B367" t="s">
        <v>869</v>
      </c>
      <c r="C367" t="s">
        <v>186</v>
      </c>
      <c r="D367" t="s">
        <v>35</v>
      </c>
      <c r="E367" t="s">
        <v>36</v>
      </c>
      <c r="F367" t="s">
        <v>64</v>
      </c>
      <c r="G367" t="s">
        <v>14</v>
      </c>
      <c r="H367">
        <v>415</v>
      </c>
    </row>
    <row r="368" spans="1:8" x14ac:dyDescent="0.3">
      <c r="A368" t="s">
        <v>870</v>
      </c>
      <c r="B368" t="s">
        <v>871</v>
      </c>
      <c r="C368" t="s">
        <v>872</v>
      </c>
      <c r="D368" t="s">
        <v>29</v>
      </c>
      <c r="E368" t="s">
        <v>168</v>
      </c>
      <c r="F368" t="s">
        <v>13</v>
      </c>
      <c r="G368" t="s">
        <v>119</v>
      </c>
      <c r="H368">
        <v>60</v>
      </c>
    </row>
    <row r="369" spans="1:8" x14ac:dyDescent="0.3">
      <c r="A369" t="s">
        <v>873</v>
      </c>
      <c r="B369" t="s">
        <v>619</v>
      </c>
      <c r="C369" t="s">
        <v>874</v>
      </c>
      <c r="D369" t="s">
        <v>29</v>
      </c>
      <c r="E369" t="s">
        <v>200</v>
      </c>
      <c r="F369" t="s">
        <v>13</v>
      </c>
      <c r="G369" t="s">
        <v>14</v>
      </c>
      <c r="H369">
        <v>280</v>
      </c>
    </row>
    <row r="370" spans="1:8" x14ac:dyDescent="0.3">
      <c r="A370" t="s">
        <v>875</v>
      </c>
      <c r="B370" t="s">
        <v>876</v>
      </c>
      <c r="C370" t="s">
        <v>877</v>
      </c>
      <c r="D370" t="s">
        <v>29</v>
      </c>
      <c r="E370" t="s">
        <v>30</v>
      </c>
      <c r="F370" t="s">
        <v>13</v>
      </c>
      <c r="G370" t="s">
        <v>507</v>
      </c>
      <c r="H370">
        <v>453</v>
      </c>
    </row>
    <row r="371" spans="1:8" x14ac:dyDescent="0.3">
      <c r="A371" t="s">
        <v>878</v>
      </c>
      <c r="B371" t="s">
        <v>31</v>
      </c>
      <c r="C371" t="s">
        <v>188</v>
      </c>
      <c r="D371" t="s">
        <v>18</v>
      </c>
      <c r="E371" t="s">
        <v>19</v>
      </c>
      <c r="F371" t="s">
        <v>31</v>
      </c>
      <c r="G371" t="s">
        <v>45</v>
      </c>
      <c r="H371">
        <v>165</v>
      </c>
    </row>
    <row r="372" spans="1:8" x14ac:dyDescent="0.3">
      <c r="A372" t="s">
        <v>879</v>
      </c>
      <c r="B372" t="s">
        <v>880</v>
      </c>
      <c r="C372" t="s">
        <v>881</v>
      </c>
      <c r="D372" t="s">
        <v>18</v>
      </c>
      <c r="E372" t="s">
        <v>23</v>
      </c>
      <c r="F372" t="s">
        <v>13</v>
      </c>
      <c r="G372" t="s">
        <v>14</v>
      </c>
      <c r="H372">
        <v>450</v>
      </c>
    </row>
    <row r="373" spans="1:8" x14ac:dyDescent="0.3">
      <c r="A373" t="s">
        <v>882</v>
      </c>
      <c r="B373" t="s">
        <v>660</v>
      </c>
      <c r="C373" t="s">
        <v>45</v>
      </c>
      <c r="D373" t="s">
        <v>246</v>
      </c>
      <c r="E373" t="s">
        <v>36</v>
      </c>
      <c r="F373" t="s">
        <v>13</v>
      </c>
      <c r="G373" t="s">
        <v>65</v>
      </c>
      <c r="H373">
        <v>280</v>
      </c>
    </row>
    <row r="374" spans="1:8" x14ac:dyDescent="0.3">
      <c r="A374" t="s">
        <v>883</v>
      </c>
      <c r="B374" t="s">
        <v>884</v>
      </c>
      <c r="C374" t="s">
        <v>273</v>
      </c>
      <c r="D374" t="s">
        <v>29</v>
      </c>
      <c r="E374" t="s">
        <v>30</v>
      </c>
      <c r="F374" t="s">
        <v>13</v>
      </c>
      <c r="G374" t="s">
        <v>65</v>
      </c>
      <c r="H374">
        <v>340</v>
      </c>
    </row>
    <row r="375" spans="1:8" x14ac:dyDescent="0.3">
      <c r="A375" t="s">
        <v>885</v>
      </c>
      <c r="B375" t="s">
        <v>886</v>
      </c>
      <c r="C375" t="s">
        <v>743</v>
      </c>
      <c r="D375" t="s">
        <v>29</v>
      </c>
      <c r="E375" t="s">
        <v>168</v>
      </c>
      <c r="F375" t="s">
        <v>24</v>
      </c>
      <c r="G375" t="s">
        <v>507</v>
      </c>
      <c r="H375" t="s">
        <v>45</v>
      </c>
    </row>
    <row r="376" spans="1:8" x14ac:dyDescent="0.3">
      <c r="A376" t="s">
        <v>887</v>
      </c>
      <c r="B376" t="s">
        <v>575</v>
      </c>
      <c r="C376" t="s">
        <v>888</v>
      </c>
      <c r="D376" t="s">
        <v>18</v>
      </c>
      <c r="E376" t="s">
        <v>19</v>
      </c>
      <c r="F376" t="s">
        <v>24</v>
      </c>
      <c r="G376" t="s">
        <v>65</v>
      </c>
      <c r="H376">
        <v>238.5</v>
      </c>
    </row>
    <row r="377" spans="1:8" x14ac:dyDescent="0.3">
      <c r="A377" t="s">
        <v>889</v>
      </c>
      <c r="B377" t="s">
        <v>890</v>
      </c>
      <c r="C377" t="s">
        <v>710</v>
      </c>
      <c r="D377" t="s">
        <v>35</v>
      </c>
      <c r="E377" t="s">
        <v>340</v>
      </c>
      <c r="F377" t="s">
        <v>13</v>
      </c>
      <c r="G377" t="s">
        <v>25</v>
      </c>
      <c r="H377">
        <v>233</v>
      </c>
    </row>
    <row r="378" spans="1:8" x14ac:dyDescent="0.3">
      <c r="A378" t="s">
        <v>891</v>
      </c>
      <c r="B378" t="s">
        <v>892</v>
      </c>
      <c r="C378" t="s">
        <v>381</v>
      </c>
      <c r="D378" t="s">
        <v>35</v>
      </c>
      <c r="E378" t="s">
        <v>140</v>
      </c>
      <c r="F378" t="s">
        <v>13</v>
      </c>
      <c r="G378" t="s">
        <v>40</v>
      </c>
      <c r="H378">
        <v>351</v>
      </c>
    </row>
    <row r="379" spans="1:8" x14ac:dyDescent="0.3">
      <c r="A379" t="s">
        <v>893</v>
      </c>
      <c r="B379" t="s">
        <v>894</v>
      </c>
      <c r="C379" t="s">
        <v>126</v>
      </c>
      <c r="D379" t="s">
        <v>29</v>
      </c>
      <c r="E379" t="s">
        <v>49</v>
      </c>
      <c r="F379" t="s">
        <v>13</v>
      </c>
      <c r="G379" t="s">
        <v>40</v>
      </c>
      <c r="H379">
        <v>466</v>
      </c>
    </row>
    <row r="380" spans="1:8" x14ac:dyDescent="0.3">
      <c r="A380" t="s">
        <v>893</v>
      </c>
      <c r="B380" t="s">
        <v>894</v>
      </c>
      <c r="C380" t="s">
        <v>126</v>
      </c>
      <c r="D380" t="s">
        <v>29</v>
      </c>
      <c r="E380" t="s">
        <v>49</v>
      </c>
      <c r="F380" t="s">
        <v>13</v>
      </c>
      <c r="G380" t="s">
        <v>40</v>
      </c>
      <c r="H380">
        <v>466</v>
      </c>
    </row>
    <row r="381" spans="1:8" x14ac:dyDescent="0.3">
      <c r="A381" t="s">
        <v>895</v>
      </c>
      <c r="B381" t="s">
        <v>896</v>
      </c>
      <c r="C381" t="s">
        <v>319</v>
      </c>
      <c r="D381" t="s">
        <v>35</v>
      </c>
      <c r="E381" t="s">
        <v>340</v>
      </c>
      <c r="F381" t="s">
        <v>54</v>
      </c>
      <c r="G381" t="s">
        <v>40</v>
      </c>
      <c r="H381">
        <v>42.5</v>
      </c>
    </row>
    <row r="382" spans="1:8" x14ac:dyDescent="0.3">
      <c r="A382" t="s">
        <v>897</v>
      </c>
      <c r="B382" t="s">
        <v>898</v>
      </c>
      <c r="C382" t="s">
        <v>363</v>
      </c>
      <c r="D382" t="s">
        <v>53</v>
      </c>
      <c r="E382" t="s">
        <v>138</v>
      </c>
      <c r="F382" t="s">
        <v>13</v>
      </c>
      <c r="G382" t="s">
        <v>14</v>
      </c>
      <c r="H382">
        <v>415</v>
      </c>
    </row>
    <row r="383" spans="1:8" x14ac:dyDescent="0.3">
      <c r="A383" t="s">
        <v>899</v>
      </c>
      <c r="B383" t="s">
        <v>900</v>
      </c>
      <c r="C383" t="s">
        <v>901</v>
      </c>
      <c r="D383" t="s">
        <v>29</v>
      </c>
      <c r="E383" t="s">
        <v>200</v>
      </c>
      <c r="F383" t="s">
        <v>158</v>
      </c>
      <c r="G383" t="s">
        <v>65</v>
      </c>
      <c r="H383">
        <v>368.6</v>
      </c>
    </row>
    <row r="384" spans="1:8" x14ac:dyDescent="0.3">
      <c r="A384" t="s">
        <v>902</v>
      </c>
      <c r="B384" t="s">
        <v>903</v>
      </c>
      <c r="C384" t="s">
        <v>454</v>
      </c>
      <c r="D384" t="s">
        <v>18</v>
      </c>
      <c r="E384" t="s">
        <v>23</v>
      </c>
      <c r="F384" t="s">
        <v>24</v>
      </c>
      <c r="G384" t="s">
        <v>40</v>
      </c>
      <c r="H384">
        <v>279</v>
      </c>
    </row>
    <row r="385" spans="1:8" x14ac:dyDescent="0.3">
      <c r="A385" t="s">
        <v>902</v>
      </c>
      <c r="B385" t="s">
        <v>903</v>
      </c>
      <c r="C385" t="s">
        <v>454</v>
      </c>
      <c r="D385" t="s">
        <v>18</v>
      </c>
      <c r="E385" t="s">
        <v>23</v>
      </c>
      <c r="F385" t="s">
        <v>24</v>
      </c>
      <c r="G385" t="s">
        <v>40</v>
      </c>
      <c r="H385">
        <v>279</v>
      </c>
    </row>
    <row r="386" spans="1:8" x14ac:dyDescent="0.3">
      <c r="A386" t="s">
        <v>904</v>
      </c>
      <c r="B386" t="s">
        <v>905</v>
      </c>
      <c r="C386" t="s">
        <v>143</v>
      </c>
      <c r="D386" t="s">
        <v>29</v>
      </c>
      <c r="E386" t="s">
        <v>49</v>
      </c>
      <c r="F386" t="s">
        <v>13</v>
      </c>
      <c r="G386" t="s">
        <v>65</v>
      </c>
      <c r="H386">
        <v>350</v>
      </c>
    </row>
    <row r="387" spans="1:8" x14ac:dyDescent="0.3">
      <c r="A387" t="s">
        <v>906</v>
      </c>
      <c r="B387" t="s">
        <v>907</v>
      </c>
      <c r="C387" t="s">
        <v>224</v>
      </c>
      <c r="D387" t="s">
        <v>18</v>
      </c>
      <c r="E387" t="s">
        <v>12</v>
      </c>
      <c r="F387" t="s">
        <v>13</v>
      </c>
      <c r="G387" t="s">
        <v>40</v>
      </c>
      <c r="H387">
        <v>581</v>
      </c>
    </row>
    <row r="388" spans="1:8" x14ac:dyDescent="0.3">
      <c r="A388" t="s">
        <v>908</v>
      </c>
      <c r="B388" t="s">
        <v>909</v>
      </c>
      <c r="C388" t="s">
        <v>117</v>
      </c>
      <c r="D388" t="s">
        <v>53</v>
      </c>
      <c r="E388" t="s">
        <v>138</v>
      </c>
      <c r="F388" t="s">
        <v>13</v>
      </c>
      <c r="G388" t="s">
        <v>25</v>
      </c>
      <c r="H388">
        <v>210</v>
      </c>
    </row>
    <row r="389" spans="1:8" x14ac:dyDescent="0.3">
      <c r="A389" t="s">
        <v>910</v>
      </c>
      <c r="B389" t="s">
        <v>911</v>
      </c>
      <c r="C389" t="s">
        <v>615</v>
      </c>
      <c r="D389" t="s">
        <v>53</v>
      </c>
      <c r="E389" t="s">
        <v>118</v>
      </c>
      <c r="F389" t="s">
        <v>158</v>
      </c>
      <c r="G389" t="s">
        <v>31</v>
      </c>
      <c r="H389">
        <v>545.29999999999995</v>
      </c>
    </row>
    <row r="390" spans="1:8" x14ac:dyDescent="0.3">
      <c r="A390" t="s">
        <v>910</v>
      </c>
      <c r="B390" t="s">
        <v>911</v>
      </c>
      <c r="C390" t="s">
        <v>615</v>
      </c>
      <c r="D390" t="s">
        <v>53</v>
      </c>
      <c r="E390" t="s">
        <v>118</v>
      </c>
      <c r="F390" t="s">
        <v>158</v>
      </c>
      <c r="G390" t="s">
        <v>65</v>
      </c>
      <c r="H390">
        <v>545.29999999999995</v>
      </c>
    </row>
    <row r="391" spans="1:8" x14ac:dyDescent="0.3">
      <c r="A391" t="s">
        <v>912</v>
      </c>
      <c r="B391" t="s">
        <v>913</v>
      </c>
      <c r="C391" t="s">
        <v>491</v>
      </c>
      <c r="D391" t="s">
        <v>53</v>
      </c>
      <c r="E391" t="s">
        <v>83</v>
      </c>
      <c r="F391" t="s">
        <v>24</v>
      </c>
      <c r="G391" t="s">
        <v>40</v>
      </c>
      <c r="H391">
        <v>633.6</v>
      </c>
    </row>
    <row r="392" spans="1:8" x14ac:dyDescent="0.3">
      <c r="A392" t="s">
        <v>914</v>
      </c>
      <c r="B392" t="s">
        <v>915</v>
      </c>
      <c r="C392" t="s">
        <v>425</v>
      </c>
      <c r="D392" t="s">
        <v>18</v>
      </c>
      <c r="E392" t="s">
        <v>231</v>
      </c>
      <c r="F392" t="s">
        <v>158</v>
      </c>
      <c r="G392" t="s">
        <v>65</v>
      </c>
      <c r="H392">
        <v>494</v>
      </c>
    </row>
    <row r="393" spans="1:8" x14ac:dyDescent="0.3">
      <c r="A393" t="s">
        <v>916</v>
      </c>
      <c r="B393" t="s">
        <v>917</v>
      </c>
      <c r="C393" t="s">
        <v>918</v>
      </c>
      <c r="D393" t="s">
        <v>53</v>
      </c>
      <c r="E393" t="s">
        <v>83</v>
      </c>
      <c r="F393" t="s">
        <v>13</v>
      </c>
      <c r="G393" t="s">
        <v>45</v>
      </c>
      <c r="H393">
        <v>356</v>
      </c>
    </row>
    <row r="394" spans="1:8" x14ac:dyDescent="0.3">
      <c r="A394" t="s">
        <v>919</v>
      </c>
      <c r="B394" t="s">
        <v>920</v>
      </c>
      <c r="C394" t="s">
        <v>155</v>
      </c>
      <c r="D394" t="s">
        <v>18</v>
      </c>
      <c r="E394" t="s">
        <v>12</v>
      </c>
      <c r="F394" t="s">
        <v>13</v>
      </c>
      <c r="G394" t="s">
        <v>40</v>
      </c>
      <c r="H394">
        <v>165</v>
      </c>
    </row>
    <row r="395" spans="1:8" x14ac:dyDescent="0.3">
      <c r="A395" t="s">
        <v>921</v>
      </c>
      <c r="B395" t="s">
        <v>922</v>
      </c>
      <c r="C395" t="s">
        <v>186</v>
      </c>
      <c r="D395" t="s">
        <v>35</v>
      </c>
      <c r="E395" t="s">
        <v>140</v>
      </c>
      <c r="F395" t="s">
        <v>13</v>
      </c>
      <c r="G395" t="s">
        <v>40</v>
      </c>
      <c r="H395">
        <v>348</v>
      </c>
    </row>
    <row r="396" spans="1:8" x14ac:dyDescent="0.3">
      <c r="A396" t="s">
        <v>921</v>
      </c>
      <c r="B396" t="s">
        <v>922</v>
      </c>
      <c r="C396" t="s">
        <v>186</v>
      </c>
      <c r="D396" t="s">
        <v>35</v>
      </c>
      <c r="E396" t="s">
        <v>140</v>
      </c>
      <c r="F396" t="s">
        <v>13</v>
      </c>
      <c r="G396" t="s">
        <v>40</v>
      </c>
      <c r="H396">
        <v>348</v>
      </c>
    </row>
    <row r="397" spans="1:8" x14ac:dyDescent="0.3">
      <c r="A397" t="s">
        <v>923</v>
      </c>
      <c r="B397" t="s">
        <v>924</v>
      </c>
      <c r="C397" t="s">
        <v>663</v>
      </c>
      <c r="D397" t="s">
        <v>29</v>
      </c>
      <c r="E397" t="s">
        <v>30</v>
      </c>
      <c r="F397" t="s">
        <v>54</v>
      </c>
      <c r="G397" t="s">
        <v>14</v>
      </c>
      <c r="H397">
        <v>204</v>
      </c>
    </row>
    <row r="398" spans="1:8" x14ac:dyDescent="0.3">
      <c r="A398" t="s">
        <v>925</v>
      </c>
      <c r="B398" t="s">
        <v>926</v>
      </c>
      <c r="C398" t="s">
        <v>183</v>
      </c>
      <c r="D398" t="s">
        <v>18</v>
      </c>
      <c r="E398" t="s">
        <v>87</v>
      </c>
      <c r="F398" t="s">
        <v>13</v>
      </c>
      <c r="G398" t="s">
        <v>40</v>
      </c>
      <c r="H398">
        <v>454</v>
      </c>
    </row>
    <row r="399" spans="1:8" x14ac:dyDescent="0.3">
      <c r="A399" t="s">
        <v>927</v>
      </c>
      <c r="B399" t="s">
        <v>721</v>
      </c>
      <c r="C399" t="s">
        <v>126</v>
      </c>
      <c r="D399" t="s">
        <v>11</v>
      </c>
      <c r="E399" t="s">
        <v>87</v>
      </c>
      <c r="F399" t="s">
        <v>13</v>
      </c>
      <c r="G399" t="s">
        <v>14</v>
      </c>
      <c r="H399" t="s">
        <v>45</v>
      </c>
    </row>
    <row r="400" spans="1:8" x14ac:dyDescent="0.3">
      <c r="A400" t="s">
        <v>928</v>
      </c>
      <c r="B400" t="s">
        <v>929</v>
      </c>
      <c r="C400" t="s">
        <v>930</v>
      </c>
      <c r="D400" t="s">
        <v>29</v>
      </c>
      <c r="E400" t="s">
        <v>30</v>
      </c>
      <c r="F400" t="s">
        <v>54</v>
      </c>
      <c r="G400" t="s">
        <v>25</v>
      </c>
      <c r="H400">
        <v>565.25</v>
      </c>
    </row>
    <row r="401" spans="1:8" x14ac:dyDescent="0.3">
      <c r="A401" t="s">
        <v>931</v>
      </c>
      <c r="B401" t="s">
        <v>102</v>
      </c>
      <c r="C401" t="s">
        <v>760</v>
      </c>
      <c r="D401" t="s">
        <v>157</v>
      </c>
      <c r="E401" t="s">
        <v>104</v>
      </c>
      <c r="F401" t="s">
        <v>13</v>
      </c>
      <c r="G401" t="s">
        <v>40</v>
      </c>
      <c r="H401">
        <v>491</v>
      </c>
    </row>
    <row r="402" spans="1:8" x14ac:dyDescent="0.3">
      <c r="A402" t="s">
        <v>932</v>
      </c>
      <c r="B402" t="s">
        <v>933</v>
      </c>
      <c r="C402" t="s">
        <v>934</v>
      </c>
      <c r="D402" t="s">
        <v>29</v>
      </c>
      <c r="E402" t="s">
        <v>123</v>
      </c>
      <c r="F402" t="s">
        <v>13</v>
      </c>
      <c r="G402" t="s">
        <v>14</v>
      </c>
      <c r="H402" t="s">
        <v>45</v>
      </c>
    </row>
    <row r="403" spans="1:8" x14ac:dyDescent="0.3">
      <c r="A403" t="s">
        <v>935</v>
      </c>
      <c r="B403" t="s">
        <v>936</v>
      </c>
      <c r="C403" t="s">
        <v>319</v>
      </c>
      <c r="D403" t="s">
        <v>18</v>
      </c>
      <c r="E403" t="s">
        <v>87</v>
      </c>
      <c r="F403" t="s">
        <v>24</v>
      </c>
      <c r="G403" t="s">
        <v>25</v>
      </c>
      <c r="H403">
        <v>54</v>
      </c>
    </row>
    <row r="404" spans="1:8" x14ac:dyDescent="0.3">
      <c r="A404" t="s">
        <v>937</v>
      </c>
      <c r="B404" t="s">
        <v>938</v>
      </c>
      <c r="C404" t="s">
        <v>43</v>
      </c>
      <c r="D404" t="s">
        <v>29</v>
      </c>
      <c r="E404" t="s">
        <v>30</v>
      </c>
      <c r="F404" t="s">
        <v>54</v>
      </c>
      <c r="G404" t="s">
        <v>65</v>
      </c>
      <c r="H404">
        <v>416.5</v>
      </c>
    </row>
    <row r="405" spans="1:8" x14ac:dyDescent="0.3">
      <c r="A405" t="s">
        <v>937</v>
      </c>
      <c r="B405" t="s">
        <v>939</v>
      </c>
      <c r="C405" t="s">
        <v>43</v>
      </c>
      <c r="D405" t="s">
        <v>29</v>
      </c>
      <c r="E405" t="s">
        <v>30</v>
      </c>
      <c r="F405" t="s">
        <v>54</v>
      </c>
      <c r="G405" t="s">
        <v>65</v>
      </c>
      <c r="H405">
        <v>416.5</v>
      </c>
    </row>
    <row r="406" spans="1:8" x14ac:dyDescent="0.3">
      <c r="A406" t="s">
        <v>940</v>
      </c>
      <c r="B406" t="s">
        <v>941</v>
      </c>
      <c r="C406" t="s">
        <v>267</v>
      </c>
      <c r="D406" t="s">
        <v>53</v>
      </c>
      <c r="E406" t="s">
        <v>83</v>
      </c>
      <c r="F406" t="s">
        <v>13</v>
      </c>
      <c r="G406" t="s">
        <v>40</v>
      </c>
      <c r="H406">
        <v>130</v>
      </c>
    </row>
    <row r="407" spans="1:8" x14ac:dyDescent="0.3">
      <c r="A407" t="s">
        <v>942</v>
      </c>
      <c r="B407" t="s">
        <v>943</v>
      </c>
      <c r="C407" t="s">
        <v>343</v>
      </c>
      <c r="D407" t="s">
        <v>53</v>
      </c>
      <c r="E407" t="s">
        <v>138</v>
      </c>
      <c r="F407" t="s">
        <v>54</v>
      </c>
      <c r="G407" t="s">
        <v>40</v>
      </c>
      <c r="H407">
        <v>544.85</v>
      </c>
    </row>
    <row r="408" spans="1:8" x14ac:dyDescent="0.3">
      <c r="A408" t="s">
        <v>944</v>
      </c>
      <c r="B408" t="s">
        <v>945</v>
      </c>
      <c r="C408" t="s">
        <v>261</v>
      </c>
      <c r="D408" t="s">
        <v>53</v>
      </c>
      <c r="E408" t="s">
        <v>118</v>
      </c>
      <c r="F408" t="s">
        <v>54</v>
      </c>
      <c r="G408" t="s">
        <v>14</v>
      </c>
      <c r="H408">
        <v>153</v>
      </c>
    </row>
    <row r="409" spans="1:8" x14ac:dyDescent="0.3">
      <c r="A409" t="s">
        <v>946</v>
      </c>
      <c r="B409" t="s">
        <v>947</v>
      </c>
      <c r="C409" t="s">
        <v>114</v>
      </c>
      <c r="D409" t="s">
        <v>18</v>
      </c>
      <c r="E409" t="s">
        <v>948</v>
      </c>
      <c r="F409" t="s">
        <v>24</v>
      </c>
      <c r="G409" t="s">
        <v>14</v>
      </c>
      <c r="H409">
        <v>585</v>
      </c>
    </row>
    <row r="410" spans="1:8" x14ac:dyDescent="0.3">
      <c r="A410" t="s">
        <v>946</v>
      </c>
      <c r="B410" t="s">
        <v>947</v>
      </c>
      <c r="C410" t="s">
        <v>114</v>
      </c>
      <c r="D410" t="s">
        <v>18</v>
      </c>
      <c r="E410" t="s">
        <v>295</v>
      </c>
      <c r="F410" t="s">
        <v>24</v>
      </c>
      <c r="G410" t="s">
        <v>14</v>
      </c>
      <c r="H410">
        <v>585</v>
      </c>
    </row>
    <row r="411" spans="1:8" x14ac:dyDescent="0.3">
      <c r="A411" t="s">
        <v>949</v>
      </c>
      <c r="B411" t="s">
        <v>950</v>
      </c>
      <c r="C411" t="s">
        <v>517</v>
      </c>
      <c r="D411" t="s">
        <v>29</v>
      </c>
      <c r="E411" t="s">
        <v>123</v>
      </c>
      <c r="F411" t="s">
        <v>13</v>
      </c>
      <c r="G411" t="s">
        <v>14</v>
      </c>
      <c r="H411">
        <v>186</v>
      </c>
    </row>
    <row r="412" spans="1:8" x14ac:dyDescent="0.3">
      <c r="A412" t="s">
        <v>951</v>
      </c>
      <c r="B412" t="s">
        <v>952</v>
      </c>
      <c r="C412" t="s">
        <v>953</v>
      </c>
      <c r="D412" t="s">
        <v>45</v>
      </c>
      <c r="E412" t="s">
        <v>30</v>
      </c>
      <c r="F412" t="s">
        <v>45</v>
      </c>
      <c r="G412" t="s">
        <v>25</v>
      </c>
      <c r="H412" t="s">
        <v>45</v>
      </c>
    </row>
    <row r="413" spans="1:8" x14ac:dyDescent="0.3">
      <c r="A413" t="s">
        <v>954</v>
      </c>
      <c r="B413" t="s">
        <v>955</v>
      </c>
      <c r="C413" t="s">
        <v>956</v>
      </c>
      <c r="D413" t="s">
        <v>479</v>
      </c>
      <c r="E413" t="s">
        <v>49</v>
      </c>
      <c r="F413" t="s">
        <v>13</v>
      </c>
      <c r="G413" t="s">
        <v>40</v>
      </c>
      <c r="H413">
        <v>113</v>
      </c>
    </row>
    <row r="414" spans="1:8" x14ac:dyDescent="0.3">
      <c r="A414" t="s">
        <v>957</v>
      </c>
      <c r="B414" t="s">
        <v>958</v>
      </c>
      <c r="C414" t="s">
        <v>930</v>
      </c>
      <c r="D414" t="s">
        <v>53</v>
      </c>
      <c r="E414" t="s">
        <v>104</v>
      </c>
      <c r="F414" t="s">
        <v>13</v>
      </c>
      <c r="G414" t="s">
        <v>40</v>
      </c>
      <c r="H414">
        <v>543</v>
      </c>
    </row>
    <row r="415" spans="1:8" x14ac:dyDescent="0.3">
      <c r="A415" t="s">
        <v>959</v>
      </c>
      <c r="B415" t="s">
        <v>960</v>
      </c>
      <c r="C415" t="s">
        <v>267</v>
      </c>
      <c r="D415" t="s">
        <v>18</v>
      </c>
      <c r="E415" t="s">
        <v>12</v>
      </c>
      <c r="F415" t="s">
        <v>13</v>
      </c>
      <c r="G415" t="s">
        <v>25</v>
      </c>
      <c r="H415">
        <v>240</v>
      </c>
    </row>
    <row r="416" spans="1:8" x14ac:dyDescent="0.3">
      <c r="A416" t="s">
        <v>961</v>
      </c>
      <c r="B416" t="s">
        <v>962</v>
      </c>
      <c r="C416" t="s">
        <v>663</v>
      </c>
      <c r="D416" t="s">
        <v>18</v>
      </c>
      <c r="E416" t="s">
        <v>87</v>
      </c>
      <c r="F416" t="s">
        <v>54</v>
      </c>
      <c r="G416" t="s">
        <v>144</v>
      </c>
      <c r="H416">
        <v>170</v>
      </c>
    </row>
    <row r="417" spans="1:8" x14ac:dyDescent="0.3">
      <c r="A417" t="s">
        <v>963</v>
      </c>
      <c r="B417" t="s">
        <v>459</v>
      </c>
      <c r="C417" t="s">
        <v>31</v>
      </c>
      <c r="D417" t="s">
        <v>18</v>
      </c>
      <c r="E417" t="s">
        <v>385</v>
      </c>
      <c r="F417" t="s">
        <v>13</v>
      </c>
      <c r="G417" t="s">
        <v>45</v>
      </c>
      <c r="H417">
        <v>504</v>
      </c>
    </row>
    <row r="418" spans="1:8" x14ac:dyDescent="0.3">
      <c r="A418" t="s">
        <v>964</v>
      </c>
      <c r="B418" t="s">
        <v>229</v>
      </c>
      <c r="C418" t="s">
        <v>128</v>
      </c>
      <c r="D418" t="s">
        <v>18</v>
      </c>
      <c r="E418" t="s">
        <v>31</v>
      </c>
      <c r="F418" t="s">
        <v>13</v>
      </c>
      <c r="G418" t="s">
        <v>25</v>
      </c>
      <c r="H418">
        <v>525</v>
      </c>
    </row>
    <row r="419" spans="1:8" x14ac:dyDescent="0.3">
      <c r="A419" t="s">
        <v>965</v>
      </c>
      <c r="B419" t="s">
        <v>533</v>
      </c>
      <c r="C419" t="s">
        <v>93</v>
      </c>
      <c r="D419" t="s">
        <v>35</v>
      </c>
      <c r="E419" t="s">
        <v>140</v>
      </c>
      <c r="F419" t="s">
        <v>13</v>
      </c>
      <c r="G419" t="s">
        <v>40</v>
      </c>
      <c r="H419">
        <v>420</v>
      </c>
    </row>
    <row r="420" spans="1:8" x14ac:dyDescent="0.3">
      <c r="A420" t="s">
        <v>966</v>
      </c>
      <c r="B420" t="s">
        <v>967</v>
      </c>
      <c r="C420" t="s">
        <v>968</v>
      </c>
      <c r="D420" t="s">
        <v>35</v>
      </c>
      <c r="E420" t="s">
        <v>36</v>
      </c>
      <c r="F420" t="s">
        <v>158</v>
      </c>
      <c r="G420" t="s">
        <v>25</v>
      </c>
      <c r="H420">
        <v>330.6</v>
      </c>
    </row>
    <row r="421" spans="1:8" x14ac:dyDescent="0.3">
      <c r="A421" t="s">
        <v>969</v>
      </c>
      <c r="B421" t="s">
        <v>31</v>
      </c>
      <c r="C421" t="s">
        <v>970</v>
      </c>
      <c r="D421" t="s">
        <v>45</v>
      </c>
      <c r="E421" t="s">
        <v>340</v>
      </c>
      <c r="F421" t="s">
        <v>13</v>
      </c>
      <c r="G421" t="s">
        <v>40</v>
      </c>
      <c r="H421">
        <v>734</v>
      </c>
    </row>
    <row r="422" spans="1:8" x14ac:dyDescent="0.3">
      <c r="A422" t="s">
        <v>971</v>
      </c>
      <c r="B422" t="s">
        <v>972</v>
      </c>
      <c r="C422" t="s">
        <v>953</v>
      </c>
      <c r="D422" t="s">
        <v>35</v>
      </c>
      <c r="E422" t="s">
        <v>72</v>
      </c>
      <c r="F422" t="s">
        <v>13</v>
      </c>
      <c r="G422" t="s">
        <v>65</v>
      </c>
      <c r="H422">
        <v>195</v>
      </c>
    </row>
    <row r="423" spans="1:8" x14ac:dyDescent="0.3">
      <c r="A423" t="s">
        <v>973</v>
      </c>
      <c r="B423" t="s">
        <v>974</v>
      </c>
      <c r="C423" t="s">
        <v>975</v>
      </c>
      <c r="D423" t="s">
        <v>53</v>
      </c>
      <c r="E423" t="s">
        <v>83</v>
      </c>
      <c r="F423" t="s">
        <v>158</v>
      </c>
      <c r="G423" t="s">
        <v>25</v>
      </c>
      <c r="H423">
        <v>266</v>
      </c>
    </row>
    <row r="424" spans="1:8" x14ac:dyDescent="0.3">
      <c r="A424" t="s">
        <v>976</v>
      </c>
      <c r="B424" t="s">
        <v>977</v>
      </c>
      <c r="C424" t="s">
        <v>510</v>
      </c>
      <c r="D424" t="s">
        <v>18</v>
      </c>
      <c r="E424" t="s">
        <v>295</v>
      </c>
      <c r="F424" t="s">
        <v>13</v>
      </c>
      <c r="G424" t="s">
        <v>65</v>
      </c>
      <c r="H424" t="s">
        <v>45</v>
      </c>
    </row>
    <row r="425" spans="1:8" x14ac:dyDescent="0.3">
      <c r="A425" t="s">
        <v>978</v>
      </c>
      <c r="B425" t="s">
        <v>979</v>
      </c>
      <c r="C425" t="s">
        <v>63</v>
      </c>
      <c r="D425" t="s">
        <v>35</v>
      </c>
      <c r="E425" t="s">
        <v>36</v>
      </c>
      <c r="F425" t="s">
        <v>13</v>
      </c>
      <c r="G425" t="s">
        <v>40</v>
      </c>
      <c r="H425">
        <v>960</v>
      </c>
    </row>
    <row r="426" spans="1:8" x14ac:dyDescent="0.3">
      <c r="A426" t="s">
        <v>980</v>
      </c>
      <c r="B426" t="s">
        <v>753</v>
      </c>
      <c r="C426" t="s">
        <v>360</v>
      </c>
      <c r="D426" t="s">
        <v>29</v>
      </c>
      <c r="E426" t="s">
        <v>200</v>
      </c>
      <c r="F426" t="s">
        <v>13</v>
      </c>
      <c r="G426" t="s">
        <v>65</v>
      </c>
      <c r="H426">
        <v>165</v>
      </c>
    </row>
    <row r="427" spans="1:8" x14ac:dyDescent="0.3">
      <c r="A427" t="s">
        <v>981</v>
      </c>
      <c r="B427" t="s">
        <v>982</v>
      </c>
      <c r="C427" t="s">
        <v>79</v>
      </c>
      <c r="D427" t="s">
        <v>35</v>
      </c>
      <c r="E427" t="s">
        <v>140</v>
      </c>
      <c r="F427" t="s">
        <v>24</v>
      </c>
      <c r="G427" t="s">
        <v>25</v>
      </c>
      <c r="H427">
        <v>590.4</v>
      </c>
    </row>
    <row r="428" spans="1:8" x14ac:dyDescent="0.3">
      <c r="A428" t="s">
        <v>983</v>
      </c>
      <c r="B428" t="s">
        <v>984</v>
      </c>
      <c r="C428" t="s">
        <v>137</v>
      </c>
      <c r="D428" t="s">
        <v>35</v>
      </c>
      <c r="E428" t="s">
        <v>140</v>
      </c>
      <c r="F428" t="s">
        <v>13</v>
      </c>
      <c r="G428" t="s">
        <v>14</v>
      </c>
      <c r="H428">
        <v>370</v>
      </c>
    </row>
    <row r="429" spans="1:8" x14ac:dyDescent="0.3">
      <c r="A429" t="s">
        <v>985</v>
      </c>
      <c r="B429" t="s">
        <v>45</v>
      </c>
      <c r="C429" t="s">
        <v>975</v>
      </c>
      <c r="D429" t="s">
        <v>53</v>
      </c>
      <c r="E429" t="s">
        <v>138</v>
      </c>
      <c r="F429" t="s">
        <v>13</v>
      </c>
      <c r="G429" t="s">
        <v>14</v>
      </c>
      <c r="H429">
        <v>68</v>
      </c>
    </row>
    <row r="430" spans="1:8" x14ac:dyDescent="0.3">
      <c r="A430" t="s">
        <v>986</v>
      </c>
      <c r="B430" t="s">
        <v>70</v>
      </c>
      <c r="C430" t="s">
        <v>276</v>
      </c>
      <c r="D430" t="s">
        <v>18</v>
      </c>
      <c r="E430" t="s">
        <v>87</v>
      </c>
      <c r="F430" t="s">
        <v>13</v>
      </c>
      <c r="G430" t="s">
        <v>65</v>
      </c>
      <c r="H430">
        <v>496</v>
      </c>
    </row>
    <row r="431" spans="1:8" x14ac:dyDescent="0.3">
      <c r="A431" t="s">
        <v>987</v>
      </c>
      <c r="B431" t="s">
        <v>943</v>
      </c>
      <c r="C431" t="s">
        <v>988</v>
      </c>
      <c r="D431" t="s">
        <v>53</v>
      </c>
      <c r="E431" t="s">
        <v>118</v>
      </c>
      <c r="F431" t="s">
        <v>45</v>
      </c>
      <c r="G431" t="s">
        <v>14</v>
      </c>
      <c r="H431">
        <v>165</v>
      </c>
    </row>
    <row r="432" spans="1:8" x14ac:dyDescent="0.3">
      <c r="A432" t="s">
        <v>989</v>
      </c>
      <c r="B432" t="s">
        <v>990</v>
      </c>
      <c r="C432" t="s">
        <v>798</v>
      </c>
      <c r="D432" t="s">
        <v>29</v>
      </c>
      <c r="E432" t="s">
        <v>123</v>
      </c>
      <c r="F432" t="s">
        <v>13</v>
      </c>
      <c r="G432" t="s">
        <v>25</v>
      </c>
      <c r="H432">
        <v>535</v>
      </c>
    </row>
    <row r="433" spans="1:8" x14ac:dyDescent="0.3">
      <c r="A433" t="s">
        <v>991</v>
      </c>
      <c r="B433" t="s">
        <v>992</v>
      </c>
      <c r="C433" t="s">
        <v>610</v>
      </c>
      <c r="D433" t="s">
        <v>18</v>
      </c>
      <c r="E433" t="s">
        <v>19</v>
      </c>
      <c r="F433" t="s">
        <v>13</v>
      </c>
      <c r="G433" t="s">
        <v>25</v>
      </c>
      <c r="H433">
        <v>670</v>
      </c>
    </row>
    <row r="434" spans="1:8" x14ac:dyDescent="0.3">
      <c r="A434" t="s">
        <v>993</v>
      </c>
      <c r="B434" t="s">
        <v>994</v>
      </c>
      <c r="C434" t="s">
        <v>188</v>
      </c>
      <c r="D434" t="s">
        <v>35</v>
      </c>
      <c r="E434" t="s">
        <v>140</v>
      </c>
      <c r="F434" t="s">
        <v>13</v>
      </c>
      <c r="G434" t="s">
        <v>25</v>
      </c>
      <c r="H434">
        <v>110</v>
      </c>
    </row>
    <row r="435" spans="1:8" x14ac:dyDescent="0.3">
      <c r="A435" t="s">
        <v>995</v>
      </c>
      <c r="B435" t="s">
        <v>300</v>
      </c>
      <c r="C435" t="s">
        <v>663</v>
      </c>
      <c r="D435" t="s">
        <v>18</v>
      </c>
      <c r="E435" t="s">
        <v>996</v>
      </c>
      <c r="F435" t="s">
        <v>158</v>
      </c>
      <c r="G435" t="s">
        <v>40</v>
      </c>
      <c r="H435">
        <v>310.64999999999998</v>
      </c>
    </row>
    <row r="436" spans="1:8" x14ac:dyDescent="0.3">
      <c r="A436" t="s">
        <v>997</v>
      </c>
      <c r="B436" t="s">
        <v>998</v>
      </c>
      <c r="C436" t="s">
        <v>671</v>
      </c>
      <c r="D436" t="s">
        <v>53</v>
      </c>
      <c r="E436" t="s">
        <v>104</v>
      </c>
      <c r="F436" t="s">
        <v>13</v>
      </c>
      <c r="G436" t="s">
        <v>65</v>
      </c>
      <c r="H436">
        <v>661</v>
      </c>
    </row>
    <row r="437" spans="1:8" x14ac:dyDescent="0.3">
      <c r="A437" t="s">
        <v>999</v>
      </c>
      <c r="B437" t="s">
        <v>703</v>
      </c>
      <c r="C437" t="s">
        <v>1000</v>
      </c>
      <c r="D437" t="s">
        <v>53</v>
      </c>
      <c r="E437" t="s">
        <v>83</v>
      </c>
      <c r="F437" t="s">
        <v>13</v>
      </c>
      <c r="G437" t="s">
        <v>65</v>
      </c>
      <c r="H437">
        <v>493</v>
      </c>
    </row>
    <row r="438" spans="1:8" x14ac:dyDescent="0.3">
      <c r="A438" t="s">
        <v>1001</v>
      </c>
      <c r="B438" t="s">
        <v>811</v>
      </c>
      <c r="C438" t="s">
        <v>196</v>
      </c>
      <c r="D438" t="s">
        <v>18</v>
      </c>
      <c r="E438" t="s">
        <v>295</v>
      </c>
      <c r="F438" t="s">
        <v>54</v>
      </c>
      <c r="G438" t="s">
        <v>14</v>
      </c>
      <c r="H438">
        <v>458.15</v>
      </c>
    </row>
    <row r="439" spans="1:8" x14ac:dyDescent="0.3">
      <c r="A439" t="s">
        <v>1002</v>
      </c>
      <c r="B439" t="s">
        <v>288</v>
      </c>
      <c r="C439" t="s">
        <v>421</v>
      </c>
      <c r="D439" t="s">
        <v>45</v>
      </c>
      <c r="E439" t="s">
        <v>123</v>
      </c>
      <c r="F439" t="s">
        <v>24</v>
      </c>
      <c r="G439" t="s">
        <v>14</v>
      </c>
      <c r="H439">
        <v>436.5</v>
      </c>
    </row>
    <row r="440" spans="1:8" x14ac:dyDescent="0.3">
      <c r="A440" t="s">
        <v>1003</v>
      </c>
      <c r="B440" t="s">
        <v>1004</v>
      </c>
      <c r="C440" t="s">
        <v>45</v>
      </c>
      <c r="D440" t="s">
        <v>35</v>
      </c>
      <c r="E440" t="s">
        <v>44</v>
      </c>
      <c r="F440" t="s">
        <v>13</v>
      </c>
      <c r="G440" t="s">
        <v>40</v>
      </c>
      <c r="H440">
        <v>80</v>
      </c>
    </row>
    <row r="441" spans="1:8" x14ac:dyDescent="0.3">
      <c r="A441" t="s">
        <v>1005</v>
      </c>
      <c r="B441" t="s">
        <v>1006</v>
      </c>
      <c r="C441" t="s">
        <v>550</v>
      </c>
      <c r="D441" t="s">
        <v>18</v>
      </c>
      <c r="E441" t="s">
        <v>87</v>
      </c>
      <c r="F441" t="s">
        <v>24</v>
      </c>
      <c r="G441" t="s">
        <v>40</v>
      </c>
      <c r="H441">
        <v>202.5</v>
      </c>
    </row>
    <row r="442" spans="1:8" x14ac:dyDescent="0.3">
      <c r="A442" t="s">
        <v>1007</v>
      </c>
      <c r="B442" t="s">
        <v>1008</v>
      </c>
      <c r="C442" t="s">
        <v>45</v>
      </c>
      <c r="D442" t="s">
        <v>18</v>
      </c>
      <c r="E442" t="s">
        <v>23</v>
      </c>
      <c r="F442" t="s">
        <v>31</v>
      </c>
      <c r="G442" t="s">
        <v>144</v>
      </c>
      <c r="H442">
        <v>115</v>
      </c>
    </row>
    <row r="443" spans="1:8" x14ac:dyDescent="0.3">
      <c r="A443" t="s">
        <v>1009</v>
      </c>
      <c r="B443" t="s">
        <v>1010</v>
      </c>
      <c r="C443" t="s">
        <v>230</v>
      </c>
      <c r="D443" t="s">
        <v>35</v>
      </c>
      <c r="E443" t="s">
        <v>44</v>
      </c>
      <c r="F443" t="s">
        <v>13</v>
      </c>
      <c r="G443" t="s">
        <v>14</v>
      </c>
      <c r="H443">
        <v>640</v>
      </c>
    </row>
    <row r="444" spans="1:8" x14ac:dyDescent="0.3">
      <c r="A444" t="s">
        <v>1011</v>
      </c>
      <c r="B444" t="s">
        <v>1012</v>
      </c>
      <c r="C444" t="s">
        <v>798</v>
      </c>
      <c r="D444" t="s">
        <v>18</v>
      </c>
      <c r="E444" t="s">
        <v>295</v>
      </c>
      <c r="F444" t="s">
        <v>24</v>
      </c>
      <c r="G444" t="s">
        <v>45</v>
      </c>
      <c r="H444">
        <v>215.1</v>
      </c>
    </row>
    <row r="445" spans="1:8" x14ac:dyDescent="0.3">
      <c r="A445" t="s">
        <v>1013</v>
      </c>
      <c r="B445" t="s">
        <v>675</v>
      </c>
      <c r="C445" t="s">
        <v>491</v>
      </c>
      <c r="D445" t="s">
        <v>53</v>
      </c>
      <c r="E445" t="s">
        <v>138</v>
      </c>
      <c r="F445" t="s">
        <v>24</v>
      </c>
      <c r="G445" t="s">
        <v>14</v>
      </c>
      <c r="H445">
        <v>405</v>
      </c>
    </row>
    <row r="446" spans="1:8" x14ac:dyDescent="0.3">
      <c r="A446" t="s">
        <v>1014</v>
      </c>
      <c r="B446" t="s">
        <v>903</v>
      </c>
      <c r="C446" t="s">
        <v>825</v>
      </c>
      <c r="D446" t="s">
        <v>18</v>
      </c>
      <c r="E446" t="s">
        <v>12</v>
      </c>
      <c r="F446" t="s">
        <v>13</v>
      </c>
      <c r="G446" t="s">
        <v>25</v>
      </c>
      <c r="H446">
        <v>416</v>
      </c>
    </row>
    <row r="447" spans="1:8" x14ac:dyDescent="0.3">
      <c r="A447" t="s">
        <v>1015</v>
      </c>
      <c r="B447" t="s">
        <v>1016</v>
      </c>
      <c r="C447" t="s">
        <v>381</v>
      </c>
      <c r="D447" t="s">
        <v>53</v>
      </c>
      <c r="E447" t="s">
        <v>83</v>
      </c>
      <c r="F447" t="s">
        <v>45</v>
      </c>
      <c r="G447" t="s">
        <v>45</v>
      </c>
      <c r="H447">
        <v>455</v>
      </c>
    </row>
    <row r="448" spans="1:8" x14ac:dyDescent="0.3">
      <c r="A448" t="s">
        <v>1017</v>
      </c>
      <c r="B448" t="s">
        <v>1018</v>
      </c>
      <c r="C448" t="s">
        <v>1019</v>
      </c>
      <c r="D448" t="s">
        <v>18</v>
      </c>
      <c r="E448" t="s">
        <v>23</v>
      </c>
      <c r="F448" t="s">
        <v>13</v>
      </c>
      <c r="G448" t="s">
        <v>14</v>
      </c>
      <c r="H448">
        <v>80</v>
      </c>
    </row>
    <row r="449" spans="1:8" x14ac:dyDescent="0.3">
      <c r="A449" t="s">
        <v>1020</v>
      </c>
      <c r="B449" t="s">
        <v>1021</v>
      </c>
      <c r="C449" t="s">
        <v>706</v>
      </c>
      <c r="D449" t="s">
        <v>35</v>
      </c>
      <c r="E449" t="s">
        <v>72</v>
      </c>
      <c r="F449" t="s">
        <v>24</v>
      </c>
      <c r="G449" t="s">
        <v>40</v>
      </c>
      <c r="H449">
        <v>49.5</v>
      </c>
    </row>
    <row r="450" spans="1:8" x14ac:dyDescent="0.3">
      <c r="A450" t="s">
        <v>1022</v>
      </c>
      <c r="B450" t="s">
        <v>712</v>
      </c>
      <c r="C450" t="s">
        <v>881</v>
      </c>
      <c r="D450" t="s">
        <v>31</v>
      </c>
      <c r="E450" t="s">
        <v>118</v>
      </c>
      <c r="F450" t="s">
        <v>13</v>
      </c>
      <c r="G450" t="s">
        <v>14</v>
      </c>
      <c r="H450">
        <v>65</v>
      </c>
    </row>
    <row r="451" spans="1:8" x14ac:dyDescent="0.3">
      <c r="A451" t="s">
        <v>1023</v>
      </c>
      <c r="B451" t="s">
        <v>632</v>
      </c>
      <c r="C451" t="s">
        <v>276</v>
      </c>
      <c r="D451" t="s">
        <v>29</v>
      </c>
      <c r="E451" t="s">
        <v>200</v>
      </c>
      <c r="F451" t="s">
        <v>13</v>
      </c>
      <c r="G451" t="s">
        <v>65</v>
      </c>
      <c r="H451">
        <v>449</v>
      </c>
    </row>
    <row r="452" spans="1:8" x14ac:dyDescent="0.3">
      <c r="A452" t="s">
        <v>1024</v>
      </c>
      <c r="B452" t="s">
        <v>1025</v>
      </c>
      <c r="C452" t="s">
        <v>647</v>
      </c>
      <c r="D452" t="s">
        <v>31</v>
      </c>
      <c r="E452" t="s">
        <v>31</v>
      </c>
      <c r="F452" t="s">
        <v>13</v>
      </c>
      <c r="G452" t="s">
        <v>65</v>
      </c>
      <c r="H452">
        <v>123</v>
      </c>
    </row>
    <row r="453" spans="1:8" x14ac:dyDescent="0.3">
      <c r="A453" t="s">
        <v>1026</v>
      </c>
      <c r="B453" t="s">
        <v>1027</v>
      </c>
      <c r="C453" t="s">
        <v>1028</v>
      </c>
      <c r="D453" t="s">
        <v>29</v>
      </c>
      <c r="E453" t="s">
        <v>168</v>
      </c>
      <c r="F453" t="s">
        <v>13</v>
      </c>
      <c r="G453" t="s">
        <v>40</v>
      </c>
      <c r="H453">
        <v>795</v>
      </c>
    </row>
    <row r="454" spans="1:8" x14ac:dyDescent="0.3">
      <c r="A454" t="s">
        <v>1029</v>
      </c>
      <c r="B454" t="s">
        <v>1030</v>
      </c>
      <c r="C454" t="s">
        <v>134</v>
      </c>
      <c r="D454" t="s">
        <v>35</v>
      </c>
      <c r="E454" t="s">
        <v>340</v>
      </c>
      <c r="F454" t="s">
        <v>13</v>
      </c>
      <c r="G454" t="s">
        <v>65</v>
      </c>
      <c r="H454">
        <v>481</v>
      </c>
    </row>
    <row r="455" spans="1:8" x14ac:dyDescent="0.3">
      <c r="A455" t="s">
        <v>1031</v>
      </c>
      <c r="B455" t="s">
        <v>1032</v>
      </c>
      <c r="C455" t="s">
        <v>798</v>
      </c>
      <c r="D455" t="s">
        <v>35</v>
      </c>
      <c r="E455" t="s">
        <v>108</v>
      </c>
      <c r="F455" t="s">
        <v>13</v>
      </c>
      <c r="G455" t="s">
        <v>40</v>
      </c>
      <c r="H455">
        <v>524</v>
      </c>
    </row>
    <row r="456" spans="1:8" x14ac:dyDescent="0.3">
      <c r="A456" t="s">
        <v>1033</v>
      </c>
      <c r="B456" t="s">
        <v>639</v>
      </c>
      <c r="C456" t="s">
        <v>186</v>
      </c>
      <c r="D456" t="s">
        <v>53</v>
      </c>
      <c r="E456" t="s">
        <v>118</v>
      </c>
      <c r="F456" t="s">
        <v>13</v>
      </c>
      <c r="G456" t="s">
        <v>65</v>
      </c>
      <c r="H456">
        <v>215</v>
      </c>
    </row>
    <row r="457" spans="1:8" x14ac:dyDescent="0.3">
      <c r="A457" t="s">
        <v>1033</v>
      </c>
      <c r="B457" t="s">
        <v>639</v>
      </c>
      <c r="C457" t="s">
        <v>186</v>
      </c>
      <c r="D457" t="s">
        <v>53</v>
      </c>
      <c r="E457" t="s">
        <v>118</v>
      </c>
      <c r="F457" t="s">
        <v>13</v>
      </c>
      <c r="G457" t="s">
        <v>65</v>
      </c>
      <c r="H457">
        <v>215</v>
      </c>
    </row>
    <row r="458" spans="1:8" x14ac:dyDescent="0.3">
      <c r="A458" t="s">
        <v>1034</v>
      </c>
      <c r="B458" t="s">
        <v>1035</v>
      </c>
      <c r="C458" t="s">
        <v>700</v>
      </c>
      <c r="D458" t="s">
        <v>35</v>
      </c>
      <c r="E458" t="s">
        <v>140</v>
      </c>
      <c r="F458" t="s">
        <v>45</v>
      </c>
      <c r="G458" t="s">
        <v>14</v>
      </c>
      <c r="H458">
        <v>80</v>
      </c>
    </row>
    <row r="459" spans="1:8" x14ac:dyDescent="0.3">
      <c r="A459" t="s">
        <v>1036</v>
      </c>
      <c r="B459" t="s">
        <v>1037</v>
      </c>
      <c r="C459" t="s">
        <v>161</v>
      </c>
      <c r="D459" t="s">
        <v>53</v>
      </c>
      <c r="E459" t="s">
        <v>83</v>
      </c>
      <c r="F459" t="s">
        <v>13</v>
      </c>
      <c r="G459" t="s">
        <v>65</v>
      </c>
      <c r="H459">
        <v>210</v>
      </c>
    </row>
    <row r="460" spans="1:8" x14ac:dyDescent="0.3">
      <c r="A460" t="s">
        <v>1038</v>
      </c>
      <c r="B460" t="s">
        <v>1039</v>
      </c>
      <c r="C460" t="s">
        <v>1040</v>
      </c>
      <c r="D460" t="s">
        <v>29</v>
      </c>
      <c r="E460" t="s">
        <v>30</v>
      </c>
      <c r="F460" t="s">
        <v>289</v>
      </c>
      <c r="G460" t="s">
        <v>14</v>
      </c>
      <c r="H460">
        <v>483.55</v>
      </c>
    </row>
    <row r="461" spans="1:8" x14ac:dyDescent="0.3">
      <c r="A461" t="s">
        <v>1041</v>
      </c>
      <c r="B461" t="s">
        <v>1042</v>
      </c>
      <c r="C461" t="s">
        <v>1043</v>
      </c>
      <c r="D461" t="s">
        <v>35</v>
      </c>
      <c r="E461" t="s">
        <v>44</v>
      </c>
      <c r="F461" t="s">
        <v>13</v>
      </c>
      <c r="G461" t="s">
        <v>45</v>
      </c>
      <c r="H461">
        <v>360</v>
      </c>
    </row>
    <row r="462" spans="1:8" x14ac:dyDescent="0.3">
      <c r="A462" t="s">
        <v>1041</v>
      </c>
      <c r="B462" t="s">
        <v>1042</v>
      </c>
      <c r="C462" t="s">
        <v>1043</v>
      </c>
      <c r="D462" t="s">
        <v>35</v>
      </c>
      <c r="E462" t="s">
        <v>44</v>
      </c>
      <c r="F462" t="s">
        <v>13</v>
      </c>
      <c r="G462" t="s">
        <v>40</v>
      </c>
      <c r="H462">
        <v>360</v>
      </c>
    </row>
    <row r="463" spans="1:8" x14ac:dyDescent="0.3">
      <c r="A463" t="s">
        <v>1044</v>
      </c>
      <c r="B463" t="s">
        <v>1045</v>
      </c>
      <c r="C463" t="s">
        <v>137</v>
      </c>
      <c r="D463" t="s">
        <v>53</v>
      </c>
      <c r="E463" t="s">
        <v>83</v>
      </c>
      <c r="F463" t="s">
        <v>13</v>
      </c>
      <c r="G463" t="s">
        <v>65</v>
      </c>
      <c r="H463">
        <v>260</v>
      </c>
    </row>
    <row r="464" spans="1:8" x14ac:dyDescent="0.3">
      <c r="A464" t="s">
        <v>1046</v>
      </c>
      <c r="B464" t="s">
        <v>1047</v>
      </c>
      <c r="C464" t="s">
        <v>901</v>
      </c>
      <c r="D464" t="s">
        <v>53</v>
      </c>
      <c r="E464" t="s">
        <v>138</v>
      </c>
      <c r="F464" t="s">
        <v>13</v>
      </c>
      <c r="G464" t="s">
        <v>25</v>
      </c>
      <c r="H464">
        <v>508</v>
      </c>
    </row>
    <row r="465" spans="1:8" x14ac:dyDescent="0.3">
      <c r="A465" t="s">
        <v>1048</v>
      </c>
      <c r="B465" t="s">
        <v>1049</v>
      </c>
      <c r="C465" t="s">
        <v>111</v>
      </c>
      <c r="D465" t="s">
        <v>29</v>
      </c>
      <c r="E465" t="s">
        <v>168</v>
      </c>
      <c r="F465" t="s">
        <v>24</v>
      </c>
      <c r="G465" t="s">
        <v>40</v>
      </c>
      <c r="H465">
        <v>108</v>
      </c>
    </row>
    <row r="466" spans="1:8" x14ac:dyDescent="0.3">
      <c r="A466" t="s">
        <v>1050</v>
      </c>
      <c r="B466" t="s">
        <v>244</v>
      </c>
      <c r="C466" t="s">
        <v>1051</v>
      </c>
      <c r="D466" t="s">
        <v>53</v>
      </c>
      <c r="E466" t="s">
        <v>83</v>
      </c>
      <c r="F466" t="s">
        <v>13</v>
      </c>
      <c r="G466" t="s">
        <v>14</v>
      </c>
      <c r="H466">
        <v>190</v>
      </c>
    </row>
    <row r="467" spans="1:8" x14ac:dyDescent="0.3">
      <c r="A467" t="s">
        <v>1052</v>
      </c>
      <c r="B467" t="s">
        <v>1053</v>
      </c>
      <c r="C467" t="s">
        <v>63</v>
      </c>
      <c r="D467" t="s">
        <v>35</v>
      </c>
      <c r="E467" t="s">
        <v>140</v>
      </c>
      <c r="F467" t="s">
        <v>64</v>
      </c>
      <c r="G467" t="s">
        <v>14</v>
      </c>
      <c r="H467">
        <v>85</v>
      </c>
    </row>
    <row r="468" spans="1:8" x14ac:dyDescent="0.3">
      <c r="A468" t="s">
        <v>1054</v>
      </c>
      <c r="B468" t="s">
        <v>45</v>
      </c>
      <c r="C468" t="s">
        <v>310</v>
      </c>
      <c r="D468" t="s">
        <v>35</v>
      </c>
      <c r="E468" t="s">
        <v>140</v>
      </c>
      <c r="F468" t="s">
        <v>158</v>
      </c>
      <c r="G468" t="s">
        <v>14</v>
      </c>
      <c r="H468">
        <v>275.5</v>
      </c>
    </row>
    <row r="469" spans="1:8" x14ac:dyDescent="0.3">
      <c r="A469" t="s">
        <v>1055</v>
      </c>
      <c r="B469" t="s">
        <v>1056</v>
      </c>
      <c r="C469" t="s">
        <v>851</v>
      </c>
      <c r="D469" t="s">
        <v>29</v>
      </c>
      <c r="E469" t="s">
        <v>168</v>
      </c>
      <c r="F469" t="s">
        <v>45</v>
      </c>
      <c r="G469" t="s">
        <v>40</v>
      </c>
      <c r="H469">
        <v>633</v>
      </c>
    </row>
    <row r="470" spans="1:8" x14ac:dyDescent="0.3">
      <c r="A470" t="s">
        <v>1057</v>
      </c>
      <c r="B470" t="s">
        <v>1058</v>
      </c>
      <c r="C470" t="s">
        <v>534</v>
      </c>
      <c r="D470" t="s">
        <v>18</v>
      </c>
      <c r="E470" t="s">
        <v>19</v>
      </c>
      <c r="F470" t="s">
        <v>13</v>
      </c>
      <c r="G470" t="s">
        <v>65</v>
      </c>
      <c r="H470">
        <v>340</v>
      </c>
    </row>
    <row r="471" spans="1:8" x14ac:dyDescent="0.3">
      <c r="A471" t="s">
        <v>1059</v>
      </c>
      <c r="B471" t="s">
        <v>453</v>
      </c>
      <c r="C471" t="s">
        <v>230</v>
      </c>
      <c r="D471" t="s">
        <v>29</v>
      </c>
      <c r="E471" t="s">
        <v>123</v>
      </c>
      <c r="F471" t="s">
        <v>13</v>
      </c>
      <c r="G471" t="s">
        <v>45</v>
      </c>
      <c r="H471">
        <v>395</v>
      </c>
    </row>
    <row r="472" spans="1:8" x14ac:dyDescent="0.3">
      <c r="A472" t="s">
        <v>1060</v>
      </c>
      <c r="B472" t="s">
        <v>1061</v>
      </c>
      <c r="C472" t="s">
        <v>152</v>
      </c>
      <c r="D472" t="s">
        <v>53</v>
      </c>
      <c r="E472" t="s">
        <v>45</v>
      </c>
      <c r="F472" t="s">
        <v>158</v>
      </c>
      <c r="G472" t="s">
        <v>40</v>
      </c>
      <c r="H472">
        <v>104.5</v>
      </c>
    </row>
    <row r="473" spans="1:8" x14ac:dyDescent="0.3">
      <c r="A473" t="s">
        <v>1062</v>
      </c>
      <c r="B473" t="s">
        <v>1063</v>
      </c>
      <c r="C473" t="s">
        <v>107</v>
      </c>
      <c r="D473" t="s">
        <v>35</v>
      </c>
      <c r="E473" t="s">
        <v>340</v>
      </c>
      <c r="F473" t="s">
        <v>13</v>
      </c>
      <c r="G473" t="s">
        <v>14</v>
      </c>
      <c r="H473">
        <v>375</v>
      </c>
    </row>
    <row r="474" spans="1:8" x14ac:dyDescent="0.3">
      <c r="A474" t="s">
        <v>1064</v>
      </c>
      <c r="B474" t="s">
        <v>1065</v>
      </c>
      <c r="C474" t="s">
        <v>343</v>
      </c>
      <c r="D474" t="s">
        <v>157</v>
      </c>
      <c r="E474" t="s">
        <v>1066</v>
      </c>
      <c r="F474" t="s">
        <v>158</v>
      </c>
      <c r="G474" t="s">
        <v>25</v>
      </c>
      <c r="H474">
        <v>318.25</v>
      </c>
    </row>
    <row r="475" spans="1:8" x14ac:dyDescent="0.3">
      <c r="A475" t="s">
        <v>1067</v>
      </c>
      <c r="B475" t="s">
        <v>1068</v>
      </c>
      <c r="C475" t="s">
        <v>901</v>
      </c>
      <c r="D475" t="s">
        <v>18</v>
      </c>
      <c r="E475" t="s">
        <v>23</v>
      </c>
      <c r="F475" t="s">
        <v>24</v>
      </c>
      <c r="G475" t="s">
        <v>45</v>
      </c>
      <c r="H475">
        <v>122.4</v>
      </c>
    </row>
    <row r="476" spans="1:8" x14ac:dyDescent="0.3">
      <c r="A476" t="s">
        <v>1069</v>
      </c>
      <c r="B476" t="s">
        <v>1065</v>
      </c>
      <c r="C476" t="s">
        <v>1070</v>
      </c>
      <c r="D476" t="s">
        <v>35</v>
      </c>
      <c r="E476" t="s">
        <v>44</v>
      </c>
      <c r="F476" t="s">
        <v>31</v>
      </c>
      <c r="G476" t="s">
        <v>65</v>
      </c>
      <c r="H476">
        <v>380</v>
      </c>
    </row>
    <row r="477" spans="1:8" x14ac:dyDescent="0.3">
      <c r="A477" t="s">
        <v>1071</v>
      </c>
      <c r="B477" t="s">
        <v>45</v>
      </c>
      <c r="C477" t="s">
        <v>520</v>
      </c>
      <c r="D477" t="s">
        <v>29</v>
      </c>
      <c r="E477" t="s">
        <v>168</v>
      </c>
      <c r="F477" t="s">
        <v>54</v>
      </c>
      <c r="G477" t="s">
        <v>65</v>
      </c>
      <c r="H477">
        <v>391</v>
      </c>
    </row>
    <row r="478" spans="1:8" x14ac:dyDescent="0.3">
      <c r="A478" t="s">
        <v>1072</v>
      </c>
      <c r="B478" t="s">
        <v>45</v>
      </c>
      <c r="C478" t="s">
        <v>754</v>
      </c>
      <c r="D478" t="s">
        <v>18</v>
      </c>
      <c r="E478" t="s">
        <v>87</v>
      </c>
      <c r="F478" t="s">
        <v>13</v>
      </c>
      <c r="G478" t="s">
        <v>65</v>
      </c>
      <c r="H478">
        <v>178</v>
      </c>
    </row>
    <row r="479" spans="1:8" x14ac:dyDescent="0.3">
      <c r="A479" t="s">
        <v>1073</v>
      </c>
      <c r="B479" t="s">
        <v>1074</v>
      </c>
      <c r="C479" t="s">
        <v>325</v>
      </c>
      <c r="D479" t="s">
        <v>53</v>
      </c>
      <c r="E479" t="s">
        <v>45</v>
      </c>
      <c r="F479" t="s">
        <v>13</v>
      </c>
      <c r="G479" t="s">
        <v>14</v>
      </c>
      <c r="H479">
        <v>385</v>
      </c>
    </row>
    <row r="480" spans="1:8" x14ac:dyDescent="0.3">
      <c r="A480" t="s">
        <v>1075</v>
      </c>
      <c r="B480" t="s">
        <v>1076</v>
      </c>
      <c r="C480" t="s">
        <v>1077</v>
      </c>
      <c r="D480" t="s">
        <v>35</v>
      </c>
      <c r="E480" t="s">
        <v>340</v>
      </c>
      <c r="F480" t="s">
        <v>13</v>
      </c>
      <c r="G480" t="s">
        <v>65</v>
      </c>
      <c r="H480">
        <v>535</v>
      </c>
    </row>
    <row r="481" spans="1:8" x14ac:dyDescent="0.3">
      <c r="A481" t="s">
        <v>1078</v>
      </c>
      <c r="B481" t="s">
        <v>1079</v>
      </c>
      <c r="C481" t="s">
        <v>122</v>
      </c>
      <c r="D481" t="s">
        <v>29</v>
      </c>
      <c r="E481" t="s">
        <v>168</v>
      </c>
      <c r="F481" t="s">
        <v>13</v>
      </c>
      <c r="G481" t="s">
        <v>119</v>
      </c>
      <c r="H481">
        <v>210</v>
      </c>
    </row>
    <row r="482" spans="1:8" x14ac:dyDescent="0.3">
      <c r="A482" t="s">
        <v>1080</v>
      </c>
      <c r="B482" t="s">
        <v>1081</v>
      </c>
      <c r="C482" t="s">
        <v>308</v>
      </c>
      <c r="D482" t="s">
        <v>18</v>
      </c>
      <c r="E482" t="s">
        <v>19</v>
      </c>
      <c r="F482" t="s">
        <v>13</v>
      </c>
      <c r="G482" t="s">
        <v>25</v>
      </c>
      <c r="H482">
        <v>326</v>
      </c>
    </row>
    <row r="483" spans="1:8" x14ac:dyDescent="0.3">
      <c r="A483" t="s">
        <v>1082</v>
      </c>
      <c r="B483" t="s">
        <v>1083</v>
      </c>
      <c r="C483" t="s">
        <v>174</v>
      </c>
      <c r="D483" t="s">
        <v>18</v>
      </c>
      <c r="E483" t="s">
        <v>23</v>
      </c>
      <c r="F483" t="s">
        <v>54</v>
      </c>
      <c r="G483" t="s">
        <v>40</v>
      </c>
      <c r="H483">
        <v>302.60000000000002</v>
      </c>
    </row>
    <row r="484" spans="1:8" x14ac:dyDescent="0.3">
      <c r="A484" t="s">
        <v>1084</v>
      </c>
      <c r="B484" t="s">
        <v>1083</v>
      </c>
      <c r="C484" t="s">
        <v>174</v>
      </c>
      <c r="D484" t="s">
        <v>18</v>
      </c>
      <c r="E484" t="s">
        <v>23</v>
      </c>
      <c r="F484" t="s">
        <v>54</v>
      </c>
      <c r="G484" t="s">
        <v>40</v>
      </c>
      <c r="H484">
        <v>302.60000000000002</v>
      </c>
    </row>
    <row r="485" spans="1:8" x14ac:dyDescent="0.3">
      <c r="A485" t="s">
        <v>1085</v>
      </c>
      <c r="B485" t="s">
        <v>405</v>
      </c>
      <c r="C485" t="s">
        <v>48</v>
      </c>
      <c r="D485" t="s">
        <v>18</v>
      </c>
      <c r="E485" t="s">
        <v>87</v>
      </c>
      <c r="F485" t="s">
        <v>13</v>
      </c>
      <c r="G485" t="s">
        <v>14</v>
      </c>
      <c r="H485">
        <v>399</v>
      </c>
    </row>
    <row r="486" spans="1:8" x14ac:dyDescent="0.3">
      <c r="A486" t="s">
        <v>1086</v>
      </c>
      <c r="B486" t="s">
        <v>1087</v>
      </c>
      <c r="C486" t="s">
        <v>793</v>
      </c>
      <c r="D486" t="s">
        <v>18</v>
      </c>
      <c r="E486" t="s">
        <v>87</v>
      </c>
      <c r="F486" t="s">
        <v>13</v>
      </c>
      <c r="G486" t="s">
        <v>14</v>
      </c>
      <c r="H486">
        <v>328</v>
      </c>
    </row>
    <row r="487" spans="1:8" x14ac:dyDescent="0.3">
      <c r="A487" t="s">
        <v>1088</v>
      </c>
      <c r="B487" t="s">
        <v>1089</v>
      </c>
      <c r="C487" t="s">
        <v>934</v>
      </c>
      <c r="D487" t="s">
        <v>31</v>
      </c>
      <c r="E487" t="s">
        <v>12</v>
      </c>
      <c r="F487" t="s">
        <v>13</v>
      </c>
      <c r="G487" t="s">
        <v>25</v>
      </c>
      <c r="H487">
        <v>190</v>
      </c>
    </row>
    <row r="488" spans="1:8" x14ac:dyDescent="0.3">
      <c r="A488" t="s">
        <v>1090</v>
      </c>
      <c r="B488" t="s">
        <v>1091</v>
      </c>
      <c r="C488" t="s">
        <v>258</v>
      </c>
      <c r="D488" t="s">
        <v>35</v>
      </c>
      <c r="E488" t="s">
        <v>340</v>
      </c>
      <c r="F488" t="s">
        <v>13</v>
      </c>
      <c r="G488" t="s">
        <v>507</v>
      </c>
      <c r="H488">
        <v>430</v>
      </c>
    </row>
    <row r="489" spans="1:8" x14ac:dyDescent="0.3">
      <c r="A489" t="s">
        <v>1092</v>
      </c>
      <c r="B489" t="s">
        <v>1093</v>
      </c>
      <c r="C489" t="s">
        <v>196</v>
      </c>
      <c r="D489" t="s">
        <v>479</v>
      </c>
      <c r="E489" t="s">
        <v>123</v>
      </c>
      <c r="F489" t="s">
        <v>13</v>
      </c>
      <c r="G489" t="s">
        <v>40</v>
      </c>
      <c r="H489">
        <v>460</v>
      </c>
    </row>
    <row r="490" spans="1:8" x14ac:dyDescent="0.3">
      <c r="A490" t="s">
        <v>1092</v>
      </c>
      <c r="B490" t="s">
        <v>1093</v>
      </c>
      <c r="C490" t="s">
        <v>196</v>
      </c>
      <c r="D490" t="s">
        <v>29</v>
      </c>
      <c r="E490" t="s">
        <v>123</v>
      </c>
      <c r="F490" t="s">
        <v>13</v>
      </c>
      <c r="G490" t="s">
        <v>40</v>
      </c>
      <c r="H490">
        <v>460</v>
      </c>
    </row>
    <row r="491" spans="1:8" x14ac:dyDescent="0.3">
      <c r="A491" t="s">
        <v>1094</v>
      </c>
      <c r="B491" t="s">
        <v>1095</v>
      </c>
      <c r="C491" t="s">
        <v>1096</v>
      </c>
      <c r="D491" t="s">
        <v>35</v>
      </c>
      <c r="E491" t="s">
        <v>340</v>
      </c>
      <c r="F491" t="s">
        <v>13</v>
      </c>
      <c r="G491" t="s">
        <v>65</v>
      </c>
      <c r="H491">
        <v>475</v>
      </c>
    </row>
    <row r="492" spans="1:8" x14ac:dyDescent="0.3">
      <c r="A492" t="s">
        <v>1097</v>
      </c>
      <c r="B492" t="s">
        <v>947</v>
      </c>
      <c r="C492" t="s">
        <v>901</v>
      </c>
      <c r="D492" t="s">
        <v>53</v>
      </c>
      <c r="E492" t="s">
        <v>104</v>
      </c>
      <c r="F492" t="s">
        <v>13</v>
      </c>
      <c r="G492" t="s">
        <v>144</v>
      </c>
      <c r="H492">
        <v>340</v>
      </c>
    </row>
    <row r="493" spans="1:8" x14ac:dyDescent="0.3">
      <c r="A493" t="s">
        <v>1098</v>
      </c>
      <c r="B493" t="s">
        <v>1099</v>
      </c>
      <c r="C493" t="s">
        <v>610</v>
      </c>
      <c r="D493" t="s">
        <v>45</v>
      </c>
      <c r="E493" t="s">
        <v>19</v>
      </c>
      <c r="F493" t="s">
        <v>13</v>
      </c>
      <c r="G493" t="s">
        <v>45</v>
      </c>
      <c r="H493">
        <v>389</v>
      </c>
    </row>
    <row r="494" spans="1:8" x14ac:dyDescent="0.3">
      <c r="A494" t="s">
        <v>1100</v>
      </c>
      <c r="B494" t="s">
        <v>1101</v>
      </c>
      <c r="C494" t="s">
        <v>107</v>
      </c>
      <c r="D494" t="s">
        <v>35</v>
      </c>
      <c r="E494" t="s">
        <v>44</v>
      </c>
      <c r="F494" t="s">
        <v>13</v>
      </c>
      <c r="G494" t="s">
        <v>40</v>
      </c>
      <c r="H494">
        <v>95</v>
      </c>
    </row>
    <row r="495" spans="1:8" x14ac:dyDescent="0.3">
      <c r="A495" t="s">
        <v>1102</v>
      </c>
      <c r="B495" t="s">
        <v>166</v>
      </c>
      <c r="C495" t="s">
        <v>346</v>
      </c>
      <c r="D495" t="s">
        <v>29</v>
      </c>
      <c r="E495" t="s">
        <v>1103</v>
      </c>
      <c r="F495" t="s">
        <v>24</v>
      </c>
      <c r="G495" t="s">
        <v>25</v>
      </c>
      <c r="H495">
        <v>360</v>
      </c>
    </row>
    <row r="496" spans="1:8" x14ac:dyDescent="0.3">
      <c r="A496" t="s">
        <v>1104</v>
      </c>
      <c r="B496" t="s">
        <v>393</v>
      </c>
      <c r="C496" t="s">
        <v>310</v>
      </c>
      <c r="D496" t="s">
        <v>35</v>
      </c>
      <c r="E496" t="s">
        <v>44</v>
      </c>
      <c r="F496" t="s">
        <v>13</v>
      </c>
      <c r="G496" t="s">
        <v>14</v>
      </c>
      <c r="H496">
        <v>170</v>
      </c>
    </row>
    <row r="497" spans="1:8" x14ac:dyDescent="0.3">
      <c r="A497" t="s">
        <v>45</v>
      </c>
      <c r="B497" t="s">
        <v>848</v>
      </c>
      <c r="C497" t="s">
        <v>1105</v>
      </c>
      <c r="D497" t="s">
        <v>35</v>
      </c>
      <c r="E497" t="s">
        <v>72</v>
      </c>
      <c r="F497" t="s">
        <v>64</v>
      </c>
      <c r="G497" t="s">
        <v>14</v>
      </c>
      <c r="H497">
        <v>484</v>
      </c>
    </row>
    <row r="498" spans="1:8" x14ac:dyDescent="0.3">
      <c r="A498" t="s">
        <v>1106</v>
      </c>
      <c r="B498" t="s">
        <v>1107</v>
      </c>
      <c r="C498" t="s">
        <v>366</v>
      </c>
      <c r="D498" t="s">
        <v>29</v>
      </c>
      <c r="E498" t="s">
        <v>49</v>
      </c>
      <c r="F498" t="s">
        <v>13</v>
      </c>
      <c r="G498" t="s">
        <v>25</v>
      </c>
      <c r="H498">
        <v>584</v>
      </c>
    </row>
    <row r="499" spans="1:8" x14ac:dyDescent="0.3">
      <c r="A499" t="s">
        <v>1108</v>
      </c>
      <c r="B499" t="s">
        <v>1109</v>
      </c>
      <c r="C499" t="s">
        <v>1070</v>
      </c>
      <c r="D499" t="s">
        <v>35</v>
      </c>
      <c r="E499" t="s">
        <v>72</v>
      </c>
      <c r="F499" t="s">
        <v>13</v>
      </c>
      <c r="G499" t="s">
        <v>65</v>
      </c>
      <c r="H499">
        <v>204</v>
      </c>
    </row>
    <row r="500" spans="1:8" x14ac:dyDescent="0.3">
      <c r="A500" t="s">
        <v>1110</v>
      </c>
      <c r="B500" t="s">
        <v>288</v>
      </c>
      <c r="C500" t="s">
        <v>578</v>
      </c>
      <c r="D500" t="s">
        <v>35</v>
      </c>
      <c r="E500" t="s">
        <v>72</v>
      </c>
      <c r="F500" t="s">
        <v>158</v>
      </c>
      <c r="G500" t="s">
        <v>25</v>
      </c>
      <c r="H500">
        <v>755.25</v>
      </c>
    </row>
    <row r="501" spans="1:8" x14ac:dyDescent="0.3">
      <c r="A501" t="s">
        <v>1111</v>
      </c>
      <c r="B501" t="s">
        <v>1112</v>
      </c>
      <c r="C501" t="s">
        <v>694</v>
      </c>
      <c r="D501" t="s">
        <v>35</v>
      </c>
      <c r="E501" t="s">
        <v>36</v>
      </c>
      <c r="F501" t="s">
        <v>54</v>
      </c>
      <c r="G501" t="s">
        <v>40</v>
      </c>
      <c r="H501">
        <v>98.6</v>
      </c>
    </row>
    <row r="502" spans="1:8" x14ac:dyDescent="0.3">
      <c r="A502" t="s">
        <v>1113</v>
      </c>
      <c r="B502" t="s">
        <v>1114</v>
      </c>
      <c r="C502" t="s">
        <v>620</v>
      </c>
      <c r="D502" t="s">
        <v>35</v>
      </c>
      <c r="E502" t="s">
        <v>72</v>
      </c>
      <c r="F502" t="s">
        <v>158</v>
      </c>
      <c r="G502" t="s">
        <v>40</v>
      </c>
      <c r="H502">
        <v>193.8</v>
      </c>
    </row>
    <row r="503" spans="1:8" x14ac:dyDescent="0.3">
      <c r="A503" t="s">
        <v>1113</v>
      </c>
      <c r="B503" t="s">
        <v>1114</v>
      </c>
      <c r="C503" t="s">
        <v>620</v>
      </c>
      <c r="D503" t="s">
        <v>35</v>
      </c>
      <c r="E503" t="s">
        <v>72</v>
      </c>
      <c r="F503" t="s">
        <v>158</v>
      </c>
      <c r="G503" t="s">
        <v>40</v>
      </c>
      <c r="H503">
        <v>193.8</v>
      </c>
    </row>
    <row r="504" spans="1:8" x14ac:dyDescent="0.3">
      <c r="A504" t="s">
        <v>1115</v>
      </c>
      <c r="B504" t="s">
        <v>1116</v>
      </c>
      <c r="C504" t="s">
        <v>406</v>
      </c>
      <c r="D504" t="s">
        <v>29</v>
      </c>
      <c r="E504" t="s">
        <v>45</v>
      </c>
      <c r="F504" t="s">
        <v>13</v>
      </c>
      <c r="G504" t="s">
        <v>507</v>
      </c>
      <c r="H504">
        <v>130</v>
      </c>
    </row>
    <row r="505" spans="1:8" x14ac:dyDescent="0.3">
      <c r="A505" t="s">
        <v>1117</v>
      </c>
      <c r="B505" t="s">
        <v>1118</v>
      </c>
      <c r="C505" t="s">
        <v>620</v>
      </c>
      <c r="D505" t="s">
        <v>29</v>
      </c>
      <c r="E505" t="s">
        <v>49</v>
      </c>
      <c r="F505" t="s">
        <v>13</v>
      </c>
      <c r="G505" t="s">
        <v>25</v>
      </c>
      <c r="H505">
        <v>390</v>
      </c>
    </row>
    <row r="506" spans="1:8" x14ac:dyDescent="0.3">
      <c r="A506" t="s">
        <v>45</v>
      </c>
      <c r="B506" t="s">
        <v>442</v>
      </c>
      <c r="C506" t="s">
        <v>766</v>
      </c>
      <c r="D506" t="s">
        <v>246</v>
      </c>
      <c r="E506" t="s">
        <v>340</v>
      </c>
      <c r="F506" t="s">
        <v>13</v>
      </c>
      <c r="G506" t="s">
        <v>144</v>
      </c>
      <c r="H506">
        <v>275</v>
      </c>
    </row>
    <row r="507" spans="1:8" x14ac:dyDescent="0.3">
      <c r="A507" t="s">
        <v>1119</v>
      </c>
      <c r="B507" t="s">
        <v>1120</v>
      </c>
      <c r="C507" t="s">
        <v>872</v>
      </c>
      <c r="D507" t="s">
        <v>29</v>
      </c>
      <c r="E507" t="s">
        <v>200</v>
      </c>
      <c r="F507" t="s">
        <v>158</v>
      </c>
      <c r="G507" t="s">
        <v>14</v>
      </c>
      <c r="H507">
        <v>137.75</v>
      </c>
    </row>
    <row r="508" spans="1:8" x14ac:dyDescent="0.3">
      <c r="A508" t="s">
        <v>1121</v>
      </c>
      <c r="B508" t="s">
        <v>1122</v>
      </c>
      <c r="C508" t="s">
        <v>290</v>
      </c>
      <c r="D508" t="s">
        <v>29</v>
      </c>
      <c r="E508" t="s">
        <v>200</v>
      </c>
      <c r="F508" t="s">
        <v>13</v>
      </c>
      <c r="G508" t="s">
        <v>25</v>
      </c>
      <c r="H508">
        <v>460</v>
      </c>
    </row>
    <row r="509" spans="1:8" x14ac:dyDescent="0.3">
      <c r="A509" t="s">
        <v>1121</v>
      </c>
      <c r="B509" t="s">
        <v>1122</v>
      </c>
      <c r="C509" t="s">
        <v>290</v>
      </c>
      <c r="D509" t="s">
        <v>29</v>
      </c>
      <c r="E509" t="s">
        <v>200</v>
      </c>
      <c r="F509" t="s">
        <v>13</v>
      </c>
      <c r="G509" t="s">
        <v>25</v>
      </c>
      <c r="H509">
        <v>460</v>
      </c>
    </row>
    <row r="510" spans="1:8" x14ac:dyDescent="0.3">
      <c r="A510" t="s">
        <v>1123</v>
      </c>
      <c r="B510" t="s">
        <v>1124</v>
      </c>
      <c r="C510" t="s">
        <v>60</v>
      </c>
      <c r="D510" t="s">
        <v>29</v>
      </c>
      <c r="E510" t="s">
        <v>49</v>
      </c>
      <c r="F510" t="s">
        <v>24</v>
      </c>
      <c r="G510" t="s">
        <v>40</v>
      </c>
      <c r="H510">
        <v>175.5</v>
      </c>
    </row>
    <row r="511" spans="1:8" x14ac:dyDescent="0.3">
      <c r="A511" t="s">
        <v>1125</v>
      </c>
      <c r="B511" t="s">
        <v>1126</v>
      </c>
      <c r="C511" t="s">
        <v>1127</v>
      </c>
      <c r="D511" t="s">
        <v>18</v>
      </c>
      <c r="E511" t="s">
        <v>12</v>
      </c>
      <c r="F511" t="s">
        <v>64</v>
      </c>
      <c r="G511" t="s">
        <v>45</v>
      </c>
      <c r="H511">
        <v>285</v>
      </c>
    </row>
    <row r="512" spans="1:8" x14ac:dyDescent="0.3">
      <c r="A512" t="s">
        <v>1128</v>
      </c>
      <c r="B512" t="s">
        <v>817</v>
      </c>
      <c r="C512" t="s">
        <v>126</v>
      </c>
      <c r="D512" t="s">
        <v>29</v>
      </c>
      <c r="E512" t="s">
        <v>49</v>
      </c>
      <c r="F512" t="s">
        <v>13</v>
      </c>
      <c r="G512" t="s">
        <v>25</v>
      </c>
      <c r="H512" t="s">
        <v>45</v>
      </c>
    </row>
    <row r="513" spans="1:8" x14ac:dyDescent="0.3">
      <c r="A513" t="s">
        <v>1129</v>
      </c>
      <c r="B513" t="s">
        <v>1130</v>
      </c>
      <c r="C513" t="s">
        <v>249</v>
      </c>
      <c r="D513" t="s">
        <v>157</v>
      </c>
      <c r="E513" t="s">
        <v>118</v>
      </c>
      <c r="F513" t="s">
        <v>54</v>
      </c>
      <c r="G513" t="s">
        <v>40</v>
      </c>
      <c r="H513">
        <v>51</v>
      </c>
    </row>
    <row r="514" spans="1:8" x14ac:dyDescent="0.3">
      <c r="A514" t="s">
        <v>1131</v>
      </c>
      <c r="B514" t="s">
        <v>867</v>
      </c>
      <c r="C514" t="s">
        <v>346</v>
      </c>
      <c r="D514" t="s">
        <v>18</v>
      </c>
      <c r="E514" t="s">
        <v>295</v>
      </c>
      <c r="F514" t="s">
        <v>13</v>
      </c>
      <c r="G514" t="s">
        <v>40</v>
      </c>
      <c r="H514">
        <v>166</v>
      </c>
    </row>
    <row r="515" spans="1:8" x14ac:dyDescent="0.3">
      <c r="A515" t="s">
        <v>1132</v>
      </c>
      <c r="B515" t="s">
        <v>272</v>
      </c>
      <c r="C515" t="s">
        <v>1070</v>
      </c>
      <c r="D515" t="s">
        <v>35</v>
      </c>
      <c r="E515" t="s">
        <v>72</v>
      </c>
      <c r="F515" t="s">
        <v>13</v>
      </c>
      <c r="G515" t="s">
        <v>25</v>
      </c>
      <c r="H515">
        <v>135</v>
      </c>
    </row>
    <row r="516" spans="1:8" x14ac:dyDescent="0.3">
      <c r="A516" t="s">
        <v>1133</v>
      </c>
      <c r="B516" t="s">
        <v>1134</v>
      </c>
      <c r="C516" t="s">
        <v>17</v>
      </c>
      <c r="D516" t="s">
        <v>35</v>
      </c>
      <c r="E516" t="s">
        <v>36</v>
      </c>
      <c r="F516" t="s">
        <v>54</v>
      </c>
      <c r="G516" t="s">
        <v>25</v>
      </c>
      <c r="H516">
        <v>327.25</v>
      </c>
    </row>
    <row r="517" spans="1:8" x14ac:dyDescent="0.3">
      <c r="A517" t="s">
        <v>1135</v>
      </c>
      <c r="B517" t="s">
        <v>1136</v>
      </c>
      <c r="C517" t="s">
        <v>851</v>
      </c>
      <c r="D517" t="s">
        <v>18</v>
      </c>
      <c r="E517" t="s">
        <v>295</v>
      </c>
      <c r="F517" t="s">
        <v>13</v>
      </c>
      <c r="G517" t="s">
        <v>40</v>
      </c>
      <c r="H517">
        <v>440</v>
      </c>
    </row>
    <row r="518" spans="1:8" x14ac:dyDescent="0.3">
      <c r="A518" t="s">
        <v>1137</v>
      </c>
      <c r="B518" t="s">
        <v>1138</v>
      </c>
      <c r="C518" t="s">
        <v>1000</v>
      </c>
      <c r="D518" t="s">
        <v>29</v>
      </c>
      <c r="E518" t="s">
        <v>30</v>
      </c>
      <c r="F518" t="s">
        <v>13</v>
      </c>
      <c r="G518" t="s">
        <v>40</v>
      </c>
      <c r="H518">
        <v>414</v>
      </c>
    </row>
    <row r="519" spans="1:8" x14ac:dyDescent="0.3">
      <c r="A519" t="s">
        <v>1139</v>
      </c>
      <c r="B519" t="s">
        <v>1140</v>
      </c>
      <c r="C519" t="s">
        <v>798</v>
      </c>
      <c r="D519" t="s">
        <v>53</v>
      </c>
      <c r="E519" t="s">
        <v>76</v>
      </c>
      <c r="F519" t="s">
        <v>24</v>
      </c>
      <c r="G519" t="s">
        <v>65</v>
      </c>
      <c r="H519">
        <v>553.5</v>
      </c>
    </row>
    <row r="520" spans="1:8" x14ac:dyDescent="0.3">
      <c r="A520" t="s">
        <v>1141</v>
      </c>
      <c r="B520" t="s">
        <v>1142</v>
      </c>
      <c r="C520" t="s">
        <v>406</v>
      </c>
      <c r="D520" t="s">
        <v>29</v>
      </c>
      <c r="E520" t="s">
        <v>123</v>
      </c>
      <c r="F520" t="s">
        <v>54</v>
      </c>
      <c r="G520" t="s">
        <v>14</v>
      </c>
      <c r="H520">
        <v>613.70000000000005</v>
      </c>
    </row>
    <row r="521" spans="1:8" x14ac:dyDescent="0.3">
      <c r="A521" t="s">
        <v>1143</v>
      </c>
      <c r="B521" t="s">
        <v>1144</v>
      </c>
      <c r="C521" t="s">
        <v>874</v>
      </c>
      <c r="D521" t="s">
        <v>29</v>
      </c>
      <c r="E521" t="s">
        <v>168</v>
      </c>
      <c r="F521" t="s">
        <v>13</v>
      </c>
      <c r="G521" t="s">
        <v>65</v>
      </c>
      <c r="H521">
        <v>266</v>
      </c>
    </row>
    <row r="522" spans="1:8" x14ac:dyDescent="0.3">
      <c r="A522" t="s">
        <v>1145</v>
      </c>
      <c r="B522" t="s">
        <v>1146</v>
      </c>
      <c r="C522" t="s">
        <v>506</v>
      </c>
      <c r="D522" t="s">
        <v>35</v>
      </c>
      <c r="E522" t="s">
        <v>140</v>
      </c>
      <c r="F522" t="s">
        <v>13</v>
      </c>
      <c r="G522" t="s">
        <v>25</v>
      </c>
      <c r="H522">
        <v>215</v>
      </c>
    </row>
    <row r="523" spans="1:8" x14ac:dyDescent="0.3">
      <c r="A523" t="s">
        <v>1147</v>
      </c>
      <c r="B523" t="s">
        <v>1148</v>
      </c>
      <c r="C523" t="s">
        <v>587</v>
      </c>
      <c r="D523" t="s">
        <v>29</v>
      </c>
      <c r="E523" t="s">
        <v>30</v>
      </c>
      <c r="F523" t="s">
        <v>13</v>
      </c>
      <c r="G523" t="s">
        <v>40</v>
      </c>
      <c r="H523">
        <v>130</v>
      </c>
    </row>
    <row r="524" spans="1:8" x14ac:dyDescent="0.3">
      <c r="A524" t="s">
        <v>1149</v>
      </c>
      <c r="B524" t="s">
        <v>1150</v>
      </c>
      <c r="C524" t="s">
        <v>975</v>
      </c>
      <c r="D524" t="s">
        <v>18</v>
      </c>
      <c r="E524" t="s">
        <v>295</v>
      </c>
      <c r="F524" t="s">
        <v>13</v>
      </c>
      <c r="G524" t="s">
        <v>65</v>
      </c>
      <c r="H524">
        <v>275</v>
      </c>
    </row>
    <row r="525" spans="1:8" x14ac:dyDescent="0.3">
      <c r="A525" t="s">
        <v>1151</v>
      </c>
      <c r="B525" t="s">
        <v>1152</v>
      </c>
      <c r="C525" t="s">
        <v>694</v>
      </c>
      <c r="D525" t="s">
        <v>29</v>
      </c>
      <c r="E525" t="s">
        <v>123</v>
      </c>
      <c r="F525" t="s">
        <v>13</v>
      </c>
      <c r="G525" t="s">
        <v>14</v>
      </c>
      <c r="H525">
        <v>705</v>
      </c>
    </row>
    <row r="526" spans="1:8" x14ac:dyDescent="0.3">
      <c r="A526" t="s">
        <v>1153</v>
      </c>
      <c r="B526" t="s">
        <v>1154</v>
      </c>
      <c r="C526" t="s">
        <v>527</v>
      </c>
      <c r="D526" t="s">
        <v>53</v>
      </c>
      <c r="E526" t="s">
        <v>76</v>
      </c>
      <c r="F526" t="s">
        <v>13</v>
      </c>
      <c r="G526" t="s">
        <v>65</v>
      </c>
      <c r="H526">
        <v>153</v>
      </c>
    </row>
    <row r="527" spans="1:8" x14ac:dyDescent="0.3">
      <c r="A527" t="s">
        <v>1155</v>
      </c>
      <c r="B527" t="s">
        <v>1156</v>
      </c>
      <c r="C527" t="s">
        <v>872</v>
      </c>
      <c r="D527" t="s">
        <v>53</v>
      </c>
      <c r="E527" t="s">
        <v>83</v>
      </c>
      <c r="F527" t="s">
        <v>13</v>
      </c>
      <c r="G527" t="s">
        <v>14</v>
      </c>
      <c r="H527">
        <v>320</v>
      </c>
    </row>
    <row r="528" spans="1:8" x14ac:dyDescent="0.3">
      <c r="A528" t="s">
        <v>1157</v>
      </c>
      <c r="B528" t="s">
        <v>1158</v>
      </c>
      <c r="C528" t="s">
        <v>644</v>
      </c>
      <c r="D528" t="s">
        <v>53</v>
      </c>
      <c r="E528" t="s">
        <v>104</v>
      </c>
      <c r="F528" t="s">
        <v>45</v>
      </c>
      <c r="G528" t="s">
        <v>25</v>
      </c>
      <c r="H528">
        <v>80</v>
      </c>
    </row>
    <row r="529" spans="1:8" x14ac:dyDescent="0.3">
      <c r="A529" t="s">
        <v>1159</v>
      </c>
      <c r="B529" t="s">
        <v>1160</v>
      </c>
      <c r="C529" t="s">
        <v>1161</v>
      </c>
      <c r="D529" t="s">
        <v>18</v>
      </c>
      <c r="E529" t="s">
        <v>23</v>
      </c>
      <c r="F529" t="s">
        <v>24</v>
      </c>
      <c r="G529" t="s">
        <v>119</v>
      </c>
      <c r="H529">
        <v>135</v>
      </c>
    </row>
    <row r="530" spans="1:8" x14ac:dyDescent="0.3">
      <c r="A530" t="s">
        <v>1162</v>
      </c>
      <c r="B530" t="s">
        <v>1163</v>
      </c>
      <c r="C530" t="s">
        <v>1164</v>
      </c>
      <c r="D530" t="s">
        <v>53</v>
      </c>
      <c r="E530" t="s">
        <v>104</v>
      </c>
      <c r="F530" t="s">
        <v>13</v>
      </c>
      <c r="G530" t="s">
        <v>45</v>
      </c>
      <c r="H530">
        <v>115</v>
      </c>
    </row>
    <row r="531" spans="1:8" x14ac:dyDescent="0.3">
      <c r="A531" t="s">
        <v>1165</v>
      </c>
      <c r="B531" t="s">
        <v>1166</v>
      </c>
      <c r="C531" t="s">
        <v>644</v>
      </c>
      <c r="D531" t="s">
        <v>35</v>
      </c>
      <c r="E531" t="s">
        <v>44</v>
      </c>
      <c r="F531" t="s">
        <v>158</v>
      </c>
      <c r="G531" t="s">
        <v>65</v>
      </c>
      <c r="H531">
        <v>221.35</v>
      </c>
    </row>
    <row r="532" spans="1:8" x14ac:dyDescent="0.3">
      <c r="A532" t="s">
        <v>1167</v>
      </c>
      <c r="B532" t="s">
        <v>538</v>
      </c>
      <c r="C532" t="s">
        <v>1168</v>
      </c>
      <c r="D532" t="s">
        <v>29</v>
      </c>
      <c r="E532" t="s">
        <v>30</v>
      </c>
      <c r="F532" t="s">
        <v>13</v>
      </c>
      <c r="G532" t="s">
        <v>65</v>
      </c>
      <c r="H532">
        <v>481</v>
      </c>
    </row>
    <row r="533" spans="1:8" x14ac:dyDescent="0.3">
      <c r="A533" t="s">
        <v>1169</v>
      </c>
      <c r="B533" t="s">
        <v>568</v>
      </c>
      <c r="C533" t="s">
        <v>975</v>
      </c>
      <c r="D533" t="s">
        <v>53</v>
      </c>
      <c r="E533" t="s">
        <v>118</v>
      </c>
      <c r="F533" t="s">
        <v>13</v>
      </c>
      <c r="G533" t="s">
        <v>25</v>
      </c>
      <c r="H533">
        <v>660</v>
      </c>
    </row>
    <row r="534" spans="1:8" x14ac:dyDescent="0.3">
      <c r="A534" t="s">
        <v>1170</v>
      </c>
      <c r="B534" t="s">
        <v>1171</v>
      </c>
      <c r="C534" t="s">
        <v>1172</v>
      </c>
      <c r="D534" t="s">
        <v>29</v>
      </c>
      <c r="E534" t="s">
        <v>168</v>
      </c>
      <c r="F534" t="s">
        <v>64</v>
      </c>
      <c r="G534" t="s">
        <v>14</v>
      </c>
      <c r="H534">
        <v>410</v>
      </c>
    </row>
    <row r="535" spans="1:8" x14ac:dyDescent="0.3">
      <c r="A535" t="s">
        <v>1173</v>
      </c>
      <c r="B535" t="s">
        <v>1174</v>
      </c>
      <c r="C535" t="s">
        <v>663</v>
      </c>
      <c r="D535" t="s">
        <v>29</v>
      </c>
      <c r="E535" t="s">
        <v>123</v>
      </c>
      <c r="F535" t="s">
        <v>13</v>
      </c>
      <c r="G535" t="s">
        <v>40</v>
      </c>
      <c r="H535">
        <v>348</v>
      </c>
    </row>
    <row r="536" spans="1:8" x14ac:dyDescent="0.3">
      <c r="A536" t="s">
        <v>1175</v>
      </c>
      <c r="B536" t="s">
        <v>1176</v>
      </c>
      <c r="C536" t="s">
        <v>227</v>
      </c>
      <c r="D536" t="s">
        <v>29</v>
      </c>
      <c r="E536" t="s">
        <v>168</v>
      </c>
      <c r="F536" t="s">
        <v>13</v>
      </c>
      <c r="G536" t="s">
        <v>40</v>
      </c>
      <c r="H536">
        <v>195</v>
      </c>
    </row>
    <row r="537" spans="1:8" x14ac:dyDescent="0.3">
      <c r="A537" t="s">
        <v>1177</v>
      </c>
      <c r="B537" t="s">
        <v>533</v>
      </c>
      <c r="C537" t="s">
        <v>485</v>
      </c>
      <c r="D537" t="s">
        <v>29</v>
      </c>
      <c r="E537" t="s">
        <v>30</v>
      </c>
      <c r="F537" t="s">
        <v>13</v>
      </c>
      <c r="G537" t="s">
        <v>25</v>
      </c>
      <c r="H537">
        <v>150</v>
      </c>
    </row>
    <row r="538" spans="1:8" x14ac:dyDescent="0.3">
      <c r="A538" t="s">
        <v>1178</v>
      </c>
      <c r="B538" t="s">
        <v>1179</v>
      </c>
      <c r="C538" t="s">
        <v>851</v>
      </c>
      <c r="D538" t="s">
        <v>157</v>
      </c>
      <c r="E538" t="s">
        <v>118</v>
      </c>
      <c r="F538" t="s">
        <v>158</v>
      </c>
      <c r="G538" t="s">
        <v>25</v>
      </c>
      <c r="H538">
        <v>494</v>
      </c>
    </row>
    <row r="539" spans="1:8" x14ac:dyDescent="0.3">
      <c r="A539" t="s">
        <v>1180</v>
      </c>
      <c r="B539" t="s">
        <v>45</v>
      </c>
      <c r="C539" t="s">
        <v>360</v>
      </c>
      <c r="D539" t="s">
        <v>18</v>
      </c>
      <c r="E539" t="s">
        <v>87</v>
      </c>
      <c r="F539" t="s">
        <v>13</v>
      </c>
      <c r="G539" t="s">
        <v>25</v>
      </c>
      <c r="H539">
        <v>490</v>
      </c>
    </row>
    <row r="540" spans="1:8" x14ac:dyDescent="0.3">
      <c r="A540" t="s">
        <v>1181</v>
      </c>
      <c r="B540" t="s">
        <v>116</v>
      </c>
      <c r="C540" t="s">
        <v>881</v>
      </c>
      <c r="D540" t="s">
        <v>479</v>
      </c>
      <c r="E540" t="s">
        <v>45</v>
      </c>
      <c r="F540" t="s">
        <v>158</v>
      </c>
      <c r="G540" t="s">
        <v>45</v>
      </c>
      <c r="H540">
        <v>147.25</v>
      </c>
    </row>
    <row r="541" spans="1:8" x14ac:dyDescent="0.3">
      <c r="A541" t="s">
        <v>1182</v>
      </c>
      <c r="B541" t="s">
        <v>1183</v>
      </c>
      <c r="C541" t="s">
        <v>918</v>
      </c>
      <c r="D541" t="s">
        <v>53</v>
      </c>
      <c r="E541" t="s">
        <v>31</v>
      </c>
      <c r="F541" t="s">
        <v>13</v>
      </c>
      <c r="G541" t="s">
        <v>14</v>
      </c>
      <c r="H541">
        <v>460</v>
      </c>
    </row>
    <row r="542" spans="1:8" x14ac:dyDescent="0.3">
      <c r="A542" t="s">
        <v>1184</v>
      </c>
      <c r="B542" t="s">
        <v>444</v>
      </c>
      <c r="C542" t="s">
        <v>1185</v>
      </c>
      <c r="D542" t="s">
        <v>35</v>
      </c>
      <c r="E542" t="s">
        <v>440</v>
      </c>
      <c r="F542" t="s">
        <v>158</v>
      </c>
      <c r="G542" t="s">
        <v>119</v>
      </c>
      <c r="H542">
        <v>243.2</v>
      </c>
    </row>
    <row r="543" spans="1:8" x14ac:dyDescent="0.3">
      <c r="A543" t="s">
        <v>1184</v>
      </c>
      <c r="B543" t="s">
        <v>444</v>
      </c>
      <c r="C543" t="s">
        <v>1185</v>
      </c>
      <c r="D543" t="s">
        <v>35</v>
      </c>
      <c r="E543" t="s">
        <v>36</v>
      </c>
      <c r="F543" t="s">
        <v>158</v>
      </c>
      <c r="G543" t="s">
        <v>40</v>
      </c>
      <c r="H543">
        <v>243.2</v>
      </c>
    </row>
    <row r="544" spans="1:8" x14ac:dyDescent="0.3">
      <c r="A544" t="s">
        <v>1186</v>
      </c>
      <c r="B544" t="s">
        <v>1187</v>
      </c>
      <c r="C544" t="s">
        <v>520</v>
      </c>
      <c r="D544" t="s">
        <v>18</v>
      </c>
      <c r="E544" t="s">
        <v>295</v>
      </c>
      <c r="F544" t="s">
        <v>13</v>
      </c>
      <c r="G544" t="s">
        <v>268</v>
      </c>
      <c r="H544">
        <v>220</v>
      </c>
    </row>
    <row r="545" spans="1:8" x14ac:dyDescent="0.3">
      <c r="A545" t="s">
        <v>1188</v>
      </c>
      <c r="B545" t="s">
        <v>1189</v>
      </c>
      <c r="C545" t="s">
        <v>530</v>
      </c>
      <c r="D545" t="s">
        <v>45</v>
      </c>
      <c r="E545" t="s">
        <v>118</v>
      </c>
      <c r="F545" t="s">
        <v>13</v>
      </c>
      <c r="G545" t="s">
        <v>14</v>
      </c>
      <c r="H545">
        <v>330</v>
      </c>
    </row>
    <row r="546" spans="1:8" x14ac:dyDescent="0.3">
      <c r="A546" t="s">
        <v>1190</v>
      </c>
      <c r="B546" t="s">
        <v>193</v>
      </c>
      <c r="C546" t="s">
        <v>1191</v>
      </c>
      <c r="D546" t="s">
        <v>29</v>
      </c>
      <c r="E546" t="s">
        <v>30</v>
      </c>
      <c r="F546" t="s">
        <v>13</v>
      </c>
      <c r="G546" t="s">
        <v>65</v>
      </c>
      <c r="H546">
        <v>263</v>
      </c>
    </row>
    <row r="547" spans="1:8" x14ac:dyDescent="0.3">
      <c r="A547" t="s">
        <v>1192</v>
      </c>
      <c r="B547" t="s">
        <v>45</v>
      </c>
      <c r="C547" t="s">
        <v>485</v>
      </c>
      <c r="D547" t="s">
        <v>53</v>
      </c>
      <c r="E547" t="s">
        <v>138</v>
      </c>
      <c r="F547" t="s">
        <v>13</v>
      </c>
      <c r="G547" t="s">
        <v>65</v>
      </c>
      <c r="H547">
        <v>155</v>
      </c>
    </row>
    <row r="548" spans="1:8" x14ac:dyDescent="0.3">
      <c r="A548" t="s">
        <v>1193</v>
      </c>
      <c r="B548" t="s">
        <v>205</v>
      </c>
      <c r="C548" t="s">
        <v>43</v>
      </c>
      <c r="D548" t="s">
        <v>18</v>
      </c>
      <c r="E548" t="s">
        <v>87</v>
      </c>
      <c r="F548" t="s">
        <v>13</v>
      </c>
      <c r="G548" t="s">
        <v>25</v>
      </c>
      <c r="H548">
        <v>65</v>
      </c>
    </row>
    <row r="549" spans="1:8" x14ac:dyDescent="0.3">
      <c r="A549" t="s">
        <v>1194</v>
      </c>
      <c r="B549" t="s">
        <v>1195</v>
      </c>
      <c r="C549" t="s">
        <v>736</v>
      </c>
      <c r="D549" t="s">
        <v>35</v>
      </c>
      <c r="E549" t="s">
        <v>340</v>
      </c>
      <c r="F549" t="s">
        <v>13</v>
      </c>
      <c r="G549" t="s">
        <v>40</v>
      </c>
      <c r="H549">
        <v>280</v>
      </c>
    </row>
    <row r="550" spans="1:8" x14ac:dyDescent="0.3">
      <c r="A550" t="s">
        <v>1196</v>
      </c>
      <c r="B550" t="s">
        <v>1197</v>
      </c>
      <c r="C550" t="s">
        <v>1198</v>
      </c>
      <c r="D550" t="s">
        <v>246</v>
      </c>
      <c r="E550" t="s">
        <v>44</v>
      </c>
      <c r="F550" t="s">
        <v>158</v>
      </c>
      <c r="G550" t="s">
        <v>25</v>
      </c>
      <c r="H550">
        <v>413.25</v>
      </c>
    </row>
    <row r="551" spans="1:8" x14ac:dyDescent="0.3">
      <c r="A551" t="s">
        <v>1199</v>
      </c>
      <c r="B551" t="s">
        <v>1200</v>
      </c>
      <c r="C551" t="s">
        <v>610</v>
      </c>
      <c r="D551" t="s">
        <v>53</v>
      </c>
      <c r="E551" t="s">
        <v>138</v>
      </c>
      <c r="F551" t="s">
        <v>13</v>
      </c>
      <c r="G551" t="s">
        <v>25</v>
      </c>
      <c r="H551">
        <v>395</v>
      </c>
    </row>
    <row r="552" spans="1:8" x14ac:dyDescent="0.3">
      <c r="A552" t="s">
        <v>1201</v>
      </c>
      <c r="B552" t="s">
        <v>1202</v>
      </c>
      <c r="C552" t="s">
        <v>126</v>
      </c>
      <c r="D552" t="s">
        <v>18</v>
      </c>
      <c r="E552" t="s">
        <v>87</v>
      </c>
      <c r="F552" t="s">
        <v>13</v>
      </c>
      <c r="G552" t="s">
        <v>14</v>
      </c>
      <c r="H552">
        <v>415</v>
      </c>
    </row>
    <row r="553" spans="1:8" x14ac:dyDescent="0.3">
      <c r="A553" t="s">
        <v>1201</v>
      </c>
      <c r="B553" t="s">
        <v>1202</v>
      </c>
      <c r="C553" t="s">
        <v>126</v>
      </c>
      <c r="D553" t="s">
        <v>18</v>
      </c>
      <c r="E553" t="s">
        <v>87</v>
      </c>
      <c r="F553" t="s">
        <v>13</v>
      </c>
      <c r="G553" t="s">
        <v>14</v>
      </c>
      <c r="H553">
        <v>415</v>
      </c>
    </row>
    <row r="554" spans="1:8" x14ac:dyDescent="0.3">
      <c r="A554" t="s">
        <v>1203</v>
      </c>
      <c r="B554" t="s">
        <v>1204</v>
      </c>
      <c r="C554" t="s">
        <v>671</v>
      </c>
      <c r="D554" t="s">
        <v>18</v>
      </c>
      <c r="E554" t="s">
        <v>23</v>
      </c>
      <c r="F554" t="s">
        <v>158</v>
      </c>
      <c r="G554" t="s">
        <v>40</v>
      </c>
      <c r="H554">
        <v>228</v>
      </c>
    </row>
    <row r="555" spans="1:8" x14ac:dyDescent="0.3">
      <c r="A555" t="s">
        <v>1205</v>
      </c>
      <c r="B555" t="s">
        <v>1206</v>
      </c>
      <c r="C555" t="s">
        <v>460</v>
      </c>
      <c r="D555" t="s">
        <v>53</v>
      </c>
      <c r="E555" t="s">
        <v>118</v>
      </c>
      <c r="F555" t="s">
        <v>13</v>
      </c>
      <c r="G555" t="s">
        <v>25</v>
      </c>
      <c r="H555">
        <v>514</v>
      </c>
    </row>
    <row r="556" spans="1:8" x14ac:dyDescent="0.3">
      <c r="A556" t="s">
        <v>1207</v>
      </c>
      <c r="B556" t="s">
        <v>1208</v>
      </c>
      <c r="C556" t="s">
        <v>706</v>
      </c>
      <c r="D556" t="s">
        <v>35</v>
      </c>
      <c r="E556" t="s">
        <v>31</v>
      </c>
      <c r="F556" t="s">
        <v>13</v>
      </c>
      <c r="G556" t="s">
        <v>268</v>
      </c>
      <c r="H556">
        <v>278</v>
      </c>
    </row>
    <row r="557" spans="1:8" x14ac:dyDescent="0.3">
      <c r="A557" t="s">
        <v>1209</v>
      </c>
      <c r="B557" t="s">
        <v>1210</v>
      </c>
      <c r="C557" t="s">
        <v>754</v>
      </c>
      <c r="D557" t="s">
        <v>35</v>
      </c>
      <c r="E557" t="s">
        <v>44</v>
      </c>
      <c r="F557" t="s">
        <v>64</v>
      </c>
      <c r="G557" t="s">
        <v>25</v>
      </c>
      <c r="H557">
        <v>175</v>
      </c>
    </row>
    <row r="558" spans="1:8" x14ac:dyDescent="0.3">
      <c r="A558" t="s">
        <v>1211</v>
      </c>
      <c r="B558" t="s">
        <v>1212</v>
      </c>
      <c r="C558" t="s">
        <v>303</v>
      </c>
      <c r="D558" t="s">
        <v>18</v>
      </c>
      <c r="E558" t="s">
        <v>23</v>
      </c>
      <c r="F558" t="s">
        <v>13</v>
      </c>
      <c r="G558" t="s">
        <v>25</v>
      </c>
      <c r="H558">
        <v>204</v>
      </c>
    </row>
    <row r="559" spans="1:8" x14ac:dyDescent="0.3">
      <c r="A559" t="s">
        <v>1213</v>
      </c>
      <c r="B559" t="s">
        <v>1214</v>
      </c>
      <c r="C559" t="s">
        <v>710</v>
      </c>
      <c r="D559" t="s">
        <v>53</v>
      </c>
      <c r="E559" t="s">
        <v>531</v>
      </c>
      <c r="F559" t="s">
        <v>31</v>
      </c>
      <c r="G559" t="s">
        <v>65</v>
      </c>
      <c r="H559">
        <v>47.5</v>
      </c>
    </row>
    <row r="560" spans="1:8" x14ac:dyDescent="0.3">
      <c r="A560" t="s">
        <v>1215</v>
      </c>
      <c r="B560" t="s">
        <v>1216</v>
      </c>
      <c r="C560" t="s">
        <v>183</v>
      </c>
      <c r="D560" t="s">
        <v>35</v>
      </c>
      <c r="E560" t="s">
        <v>340</v>
      </c>
      <c r="F560" t="s">
        <v>13</v>
      </c>
      <c r="G560" t="s">
        <v>45</v>
      </c>
      <c r="H560">
        <v>360</v>
      </c>
    </row>
    <row r="561" spans="1:8" x14ac:dyDescent="0.3">
      <c r="A561" t="s">
        <v>1217</v>
      </c>
      <c r="B561" t="s">
        <v>1218</v>
      </c>
      <c r="C561" t="s">
        <v>71</v>
      </c>
      <c r="D561" t="s">
        <v>35</v>
      </c>
      <c r="E561" t="s">
        <v>340</v>
      </c>
      <c r="F561" t="s">
        <v>13</v>
      </c>
      <c r="G561" t="s">
        <v>40</v>
      </c>
      <c r="H561">
        <v>535</v>
      </c>
    </row>
    <row r="562" spans="1:8" x14ac:dyDescent="0.3">
      <c r="A562" t="s">
        <v>1219</v>
      </c>
      <c r="B562" t="s">
        <v>1220</v>
      </c>
      <c r="C562" t="s">
        <v>349</v>
      </c>
      <c r="D562" t="s">
        <v>29</v>
      </c>
      <c r="E562" t="s">
        <v>200</v>
      </c>
      <c r="F562" t="s">
        <v>54</v>
      </c>
      <c r="G562" t="s">
        <v>25</v>
      </c>
      <c r="H562">
        <v>377.4</v>
      </c>
    </row>
    <row r="563" spans="1:8" x14ac:dyDescent="0.3">
      <c r="A563" t="s">
        <v>1221</v>
      </c>
      <c r="B563" t="s">
        <v>1222</v>
      </c>
      <c r="C563" t="s">
        <v>615</v>
      </c>
      <c r="D563" t="s">
        <v>53</v>
      </c>
      <c r="E563" t="s">
        <v>83</v>
      </c>
      <c r="F563" t="s">
        <v>13</v>
      </c>
      <c r="G563" t="s">
        <v>65</v>
      </c>
      <c r="H563">
        <v>300</v>
      </c>
    </row>
    <row r="564" spans="1:8" x14ac:dyDescent="0.3">
      <c r="A564" t="s">
        <v>1223</v>
      </c>
      <c r="B564" t="s">
        <v>909</v>
      </c>
      <c r="C564" t="s">
        <v>1164</v>
      </c>
      <c r="D564" t="s">
        <v>11</v>
      </c>
      <c r="E564" t="s">
        <v>23</v>
      </c>
      <c r="F564" t="s">
        <v>13</v>
      </c>
      <c r="G564" t="s">
        <v>14</v>
      </c>
      <c r="H564">
        <v>260</v>
      </c>
    </row>
    <row r="565" spans="1:8" x14ac:dyDescent="0.3">
      <c r="A565" t="s">
        <v>1224</v>
      </c>
      <c r="B565" t="s">
        <v>1225</v>
      </c>
      <c r="C565" t="s">
        <v>829</v>
      </c>
      <c r="D565" t="s">
        <v>35</v>
      </c>
      <c r="E565" t="s">
        <v>440</v>
      </c>
      <c r="F565" t="s">
        <v>13</v>
      </c>
      <c r="G565" t="s">
        <v>65</v>
      </c>
      <c r="H565">
        <v>230</v>
      </c>
    </row>
    <row r="566" spans="1:8" x14ac:dyDescent="0.3">
      <c r="A566" t="s">
        <v>1226</v>
      </c>
      <c r="B566" t="s">
        <v>288</v>
      </c>
      <c r="C566" t="s">
        <v>1227</v>
      </c>
      <c r="D566" t="s">
        <v>35</v>
      </c>
      <c r="E566" t="s">
        <v>340</v>
      </c>
      <c r="F566" t="s">
        <v>13</v>
      </c>
      <c r="G566" t="s">
        <v>25</v>
      </c>
      <c r="H566">
        <v>640</v>
      </c>
    </row>
    <row r="567" spans="1:8" x14ac:dyDescent="0.3">
      <c r="A567" t="s">
        <v>1228</v>
      </c>
      <c r="B567" t="s">
        <v>1229</v>
      </c>
      <c r="C567" t="s">
        <v>610</v>
      </c>
      <c r="D567" t="s">
        <v>29</v>
      </c>
      <c r="E567" t="s">
        <v>49</v>
      </c>
      <c r="F567" t="s">
        <v>13</v>
      </c>
      <c r="G567" t="s">
        <v>40</v>
      </c>
      <c r="H567">
        <v>456</v>
      </c>
    </row>
    <row r="568" spans="1:8" x14ac:dyDescent="0.3">
      <c r="A568" t="s">
        <v>1230</v>
      </c>
      <c r="B568" t="s">
        <v>892</v>
      </c>
      <c r="C568" t="s">
        <v>137</v>
      </c>
      <c r="D568" t="s">
        <v>18</v>
      </c>
      <c r="E568" t="s">
        <v>23</v>
      </c>
      <c r="F568" t="s">
        <v>13</v>
      </c>
      <c r="G568" t="s">
        <v>40</v>
      </c>
      <c r="H568">
        <v>230</v>
      </c>
    </row>
    <row r="569" spans="1:8" x14ac:dyDescent="0.3">
      <c r="A569" t="s">
        <v>1231</v>
      </c>
      <c r="B569" t="s">
        <v>1232</v>
      </c>
      <c r="C569" t="s">
        <v>856</v>
      </c>
      <c r="D569" t="s">
        <v>31</v>
      </c>
      <c r="E569" t="s">
        <v>12</v>
      </c>
      <c r="F569" t="s">
        <v>54</v>
      </c>
      <c r="G569" t="s">
        <v>65</v>
      </c>
      <c r="H569">
        <v>411.4</v>
      </c>
    </row>
    <row r="570" spans="1:8" x14ac:dyDescent="0.3">
      <c r="A570" t="s">
        <v>1233</v>
      </c>
      <c r="B570" t="s">
        <v>45</v>
      </c>
      <c r="C570" t="s">
        <v>273</v>
      </c>
      <c r="D570" t="s">
        <v>157</v>
      </c>
      <c r="E570" t="s">
        <v>104</v>
      </c>
      <c r="F570" t="s">
        <v>13</v>
      </c>
      <c r="G570" t="s">
        <v>14</v>
      </c>
      <c r="H570">
        <v>500</v>
      </c>
    </row>
    <row r="571" spans="1:8" x14ac:dyDescent="0.3">
      <c r="A571" t="s">
        <v>1234</v>
      </c>
      <c r="B571" t="s">
        <v>1235</v>
      </c>
      <c r="C571" t="s">
        <v>1198</v>
      </c>
      <c r="D571" t="s">
        <v>18</v>
      </c>
      <c r="E571" t="s">
        <v>12</v>
      </c>
      <c r="F571" t="s">
        <v>13</v>
      </c>
      <c r="G571" t="s">
        <v>65</v>
      </c>
      <c r="H571">
        <v>455</v>
      </c>
    </row>
    <row r="572" spans="1:8" x14ac:dyDescent="0.3">
      <c r="A572" t="s">
        <v>1236</v>
      </c>
      <c r="B572" t="s">
        <v>1237</v>
      </c>
      <c r="C572" t="s">
        <v>748</v>
      </c>
      <c r="D572" t="s">
        <v>18</v>
      </c>
      <c r="E572" t="s">
        <v>87</v>
      </c>
      <c r="F572" t="s">
        <v>13</v>
      </c>
      <c r="G572" t="s">
        <v>40</v>
      </c>
      <c r="H572">
        <v>435</v>
      </c>
    </row>
    <row r="573" spans="1:8" x14ac:dyDescent="0.3">
      <c r="A573" t="s">
        <v>1238</v>
      </c>
      <c r="B573" t="s">
        <v>1239</v>
      </c>
      <c r="C573" t="s">
        <v>425</v>
      </c>
      <c r="D573" t="s">
        <v>35</v>
      </c>
      <c r="E573" t="s">
        <v>44</v>
      </c>
      <c r="F573" t="s">
        <v>13</v>
      </c>
      <c r="G573" t="s">
        <v>14</v>
      </c>
      <c r="H573">
        <v>225</v>
      </c>
    </row>
    <row r="574" spans="1:8" x14ac:dyDescent="0.3">
      <c r="A574" t="s">
        <v>1240</v>
      </c>
      <c r="B574" t="s">
        <v>1241</v>
      </c>
      <c r="C574" t="s">
        <v>1242</v>
      </c>
      <c r="D574" t="s">
        <v>53</v>
      </c>
      <c r="E574" t="s">
        <v>118</v>
      </c>
      <c r="F574" t="s">
        <v>24</v>
      </c>
      <c r="G574" t="s">
        <v>31</v>
      </c>
      <c r="H574" t="s">
        <v>45</v>
      </c>
    </row>
    <row r="575" spans="1:8" x14ac:dyDescent="0.3">
      <c r="A575" t="s">
        <v>1243</v>
      </c>
      <c r="B575" t="s">
        <v>1244</v>
      </c>
      <c r="C575" t="s">
        <v>210</v>
      </c>
      <c r="D575" t="s">
        <v>29</v>
      </c>
      <c r="E575" t="s">
        <v>1245</v>
      </c>
      <c r="F575" t="s">
        <v>13</v>
      </c>
      <c r="G575" t="s">
        <v>65</v>
      </c>
      <c r="H575">
        <v>248</v>
      </c>
    </row>
    <row r="576" spans="1:8" x14ac:dyDescent="0.3">
      <c r="A576" t="s">
        <v>1246</v>
      </c>
      <c r="B576" t="s">
        <v>573</v>
      </c>
      <c r="C576" t="s">
        <v>460</v>
      </c>
      <c r="D576" t="s">
        <v>53</v>
      </c>
      <c r="E576" t="s">
        <v>464</v>
      </c>
      <c r="F576" t="s">
        <v>13</v>
      </c>
      <c r="G576" t="s">
        <v>65</v>
      </c>
      <c r="H576">
        <v>585</v>
      </c>
    </row>
    <row r="577" spans="1:8" x14ac:dyDescent="0.3">
      <c r="A577" t="s">
        <v>1247</v>
      </c>
      <c r="B577" t="s">
        <v>1248</v>
      </c>
      <c r="C577" t="s">
        <v>1249</v>
      </c>
      <c r="D577" t="s">
        <v>35</v>
      </c>
      <c r="E577" t="s">
        <v>340</v>
      </c>
      <c r="F577" t="s">
        <v>13</v>
      </c>
      <c r="G577" t="s">
        <v>65</v>
      </c>
      <c r="H577">
        <v>715</v>
      </c>
    </row>
    <row r="578" spans="1:8" x14ac:dyDescent="0.3">
      <c r="A578" t="s">
        <v>1250</v>
      </c>
      <c r="B578" t="s">
        <v>1251</v>
      </c>
      <c r="C578" t="s">
        <v>833</v>
      </c>
      <c r="D578" t="s">
        <v>35</v>
      </c>
      <c r="E578" t="s">
        <v>36</v>
      </c>
      <c r="F578" t="s">
        <v>13</v>
      </c>
      <c r="G578" t="s">
        <v>40</v>
      </c>
      <c r="H578">
        <v>745</v>
      </c>
    </row>
    <row r="579" spans="1:8" x14ac:dyDescent="0.3">
      <c r="A579" t="s">
        <v>1252</v>
      </c>
      <c r="B579" t="s">
        <v>1253</v>
      </c>
      <c r="C579" t="s">
        <v>1254</v>
      </c>
      <c r="D579" t="s">
        <v>18</v>
      </c>
      <c r="E579" t="s">
        <v>12</v>
      </c>
      <c r="F579" t="s">
        <v>54</v>
      </c>
      <c r="G579" t="s">
        <v>65</v>
      </c>
      <c r="H579">
        <v>472.6</v>
      </c>
    </row>
    <row r="580" spans="1:8" x14ac:dyDescent="0.3">
      <c r="A580" t="s">
        <v>1255</v>
      </c>
      <c r="B580" t="s">
        <v>1256</v>
      </c>
      <c r="C580" t="s">
        <v>1257</v>
      </c>
      <c r="D580" t="s">
        <v>53</v>
      </c>
      <c r="E580" t="s">
        <v>118</v>
      </c>
      <c r="F580" t="s">
        <v>13</v>
      </c>
      <c r="G580" t="s">
        <v>14</v>
      </c>
      <c r="H580">
        <v>570</v>
      </c>
    </row>
    <row r="581" spans="1:8" x14ac:dyDescent="0.3">
      <c r="A581" t="s">
        <v>1258</v>
      </c>
      <c r="B581" t="s">
        <v>1259</v>
      </c>
      <c r="C581" t="s">
        <v>10</v>
      </c>
      <c r="D581" t="s">
        <v>29</v>
      </c>
      <c r="E581" t="s">
        <v>30</v>
      </c>
      <c r="F581" t="s">
        <v>54</v>
      </c>
      <c r="G581" t="s">
        <v>65</v>
      </c>
      <c r="H581">
        <v>221</v>
      </c>
    </row>
    <row r="582" spans="1:8" x14ac:dyDescent="0.3">
      <c r="A582" t="s">
        <v>1260</v>
      </c>
      <c r="B582" t="s">
        <v>1261</v>
      </c>
      <c r="C582" t="s">
        <v>343</v>
      </c>
      <c r="D582" t="s">
        <v>35</v>
      </c>
      <c r="E582" t="s">
        <v>140</v>
      </c>
      <c r="F582" t="s">
        <v>158</v>
      </c>
      <c r="G582" t="s">
        <v>14</v>
      </c>
      <c r="H582">
        <v>114</v>
      </c>
    </row>
    <row r="583" spans="1:8" x14ac:dyDescent="0.3">
      <c r="A583" t="s">
        <v>1262</v>
      </c>
      <c r="B583" t="s">
        <v>900</v>
      </c>
      <c r="C583" t="s">
        <v>1263</v>
      </c>
      <c r="D583" t="s">
        <v>29</v>
      </c>
      <c r="E583" t="s">
        <v>1245</v>
      </c>
      <c r="F583" t="s">
        <v>13</v>
      </c>
      <c r="G583" t="s">
        <v>25</v>
      </c>
      <c r="H583">
        <v>240</v>
      </c>
    </row>
    <row r="584" spans="1:8" x14ac:dyDescent="0.3">
      <c r="A584" t="s">
        <v>1264</v>
      </c>
      <c r="B584" t="s">
        <v>1265</v>
      </c>
      <c r="C584" t="s">
        <v>400</v>
      </c>
      <c r="D584" t="s">
        <v>35</v>
      </c>
      <c r="E584" t="s">
        <v>340</v>
      </c>
      <c r="F584" t="s">
        <v>13</v>
      </c>
      <c r="G584" t="s">
        <v>65</v>
      </c>
      <c r="H584">
        <v>601</v>
      </c>
    </row>
    <row r="585" spans="1:8" x14ac:dyDescent="0.3">
      <c r="A585" t="s">
        <v>1266</v>
      </c>
      <c r="B585" t="s">
        <v>1267</v>
      </c>
      <c r="C585" t="s">
        <v>644</v>
      </c>
      <c r="D585" t="s">
        <v>53</v>
      </c>
      <c r="E585" t="s">
        <v>83</v>
      </c>
      <c r="F585" t="s">
        <v>24</v>
      </c>
      <c r="G585" t="s">
        <v>40</v>
      </c>
      <c r="H585">
        <v>228.6</v>
      </c>
    </row>
    <row r="586" spans="1:8" x14ac:dyDescent="0.3">
      <c r="A586" t="s">
        <v>1268</v>
      </c>
      <c r="B586" t="s">
        <v>1269</v>
      </c>
      <c r="C586" t="s">
        <v>131</v>
      </c>
      <c r="D586" t="s">
        <v>18</v>
      </c>
      <c r="E586" t="s">
        <v>19</v>
      </c>
      <c r="F586" t="s">
        <v>158</v>
      </c>
      <c r="G586" t="s">
        <v>25</v>
      </c>
      <c r="H586">
        <v>61.75</v>
      </c>
    </row>
    <row r="587" spans="1:8" x14ac:dyDescent="0.3">
      <c r="A587" t="s">
        <v>1270</v>
      </c>
      <c r="B587" t="s">
        <v>1271</v>
      </c>
      <c r="C587" t="s">
        <v>258</v>
      </c>
      <c r="D587" t="s">
        <v>53</v>
      </c>
      <c r="E587" t="s">
        <v>83</v>
      </c>
      <c r="F587" t="s">
        <v>54</v>
      </c>
      <c r="G587" t="s">
        <v>65</v>
      </c>
      <c r="H587">
        <v>525.29999999999995</v>
      </c>
    </row>
    <row r="588" spans="1:8" x14ac:dyDescent="0.3">
      <c r="A588" t="s">
        <v>1272</v>
      </c>
      <c r="B588" t="s">
        <v>1273</v>
      </c>
      <c r="C588" t="s">
        <v>872</v>
      </c>
      <c r="D588" t="s">
        <v>31</v>
      </c>
      <c r="E588" t="s">
        <v>23</v>
      </c>
      <c r="F588" t="s">
        <v>13</v>
      </c>
      <c r="G588" t="s">
        <v>25</v>
      </c>
      <c r="H588">
        <v>412</v>
      </c>
    </row>
    <row r="589" spans="1:8" x14ac:dyDescent="0.3">
      <c r="A589" t="s">
        <v>1274</v>
      </c>
      <c r="B589" t="s">
        <v>1008</v>
      </c>
      <c r="C589" t="s">
        <v>710</v>
      </c>
      <c r="D589" t="s">
        <v>18</v>
      </c>
      <c r="E589" t="s">
        <v>295</v>
      </c>
      <c r="F589" t="s">
        <v>13</v>
      </c>
      <c r="G589" t="s">
        <v>40</v>
      </c>
      <c r="H589">
        <v>201</v>
      </c>
    </row>
    <row r="590" spans="1:8" x14ac:dyDescent="0.3">
      <c r="A590" t="s">
        <v>1275</v>
      </c>
      <c r="B590" t="s">
        <v>1276</v>
      </c>
      <c r="C590" t="s">
        <v>171</v>
      </c>
      <c r="D590" t="s">
        <v>29</v>
      </c>
      <c r="E590" t="s">
        <v>123</v>
      </c>
      <c r="F590" t="s">
        <v>13</v>
      </c>
      <c r="G590" t="s">
        <v>25</v>
      </c>
      <c r="H590">
        <v>204</v>
      </c>
    </row>
    <row r="591" spans="1:8" x14ac:dyDescent="0.3">
      <c r="A591" t="s">
        <v>1277</v>
      </c>
      <c r="B591" t="s">
        <v>1278</v>
      </c>
      <c r="C591" t="s">
        <v>620</v>
      </c>
      <c r="D591" t="s">
        <v>53</v>
      </c>
      <c r="E591" t="s">
        <v>76</v>
      </c>
      <c r="F591" t="s">
        <v>13</v>
      </c>
      <c r="G591" t="s">
        <v>25</v>
      </c>
      <c r="H591">
        <v>80</v>
      </c>
    </row>
    <row r="592" spans="1:8" x14ac:dyDescent="0.3">
      <c r="A592" t="s">
        <v>1279</v>
      </c>
      <c r="B592" t="s">
        <v>45</v>
      </c>
      <c r="C592" t="s">
        <v>793</v>
      </c>
      <c r="D592" t="s">
        <v>18</v>
      </c>
      <c r="E592" t="s">
        <v>87</v>
      </c>
      <c r="F592" t="s">
        <v>13</v>
      </c>
      <c r="G592" t="s">
        <v>65</v>
      </c>
      <c r="H592">
        <v>684</v>
      </c>
    </row>
    <row r="593" spans="1:8" x14ac:dyDescent="0.3">
      <c r="A593" t="s">
        <v>1280</v>
      </c>
      <c r="B593" t="s">
        <v>1281</v>
      </c>
      <c r="C593" t="s">
        <v>968</v>
      </c>
      <c r="D593" t="s">
        <v>35</v>
      </c>
      <c r="E593" t="s">
        <v>340</v>
      </c>
      <c r="F593" t="s">
        <v>54</v>
      </c>
      <c r="G593" t="s">
        <v>40</v>
      </c>
      <c r="H593">
        <v>469.2</v>
      </c>
    </row>
    <row r="594" spans="1:8" x14ac:dyDescent="0.3">
      <c r="A594" t="s">
        <v>1282</v>
      </c>
      <c r="B594" t="s">
        <v>1283</v>
      </c>
      <c r="C594" t="s">
        <v>28</v>
      </c>
      <c r="D594" t="s">
        <v>35</v>
      </c>
      <c r="E594" t="s">
        <v>44</v>
      </c>
      <c r="F594" t="s">
        <v>13</v>
      </c>
      <c r="G594" t="s">
        <v>25</v>
      </c>
      <c r="H594">
        <v>185</v>
      </c>
    </row>
    <row r="595" spans="1:8" x14ac:dyDescent="0.3">
      <c r="A595" t="s">
        <v>1284</v>
      </c>
      <c r="B595" t="s">
        <v>1285</v>
      </c>
      <c r="C595" t="s">
        <v>292</v>
      </c>
      <c r="D595" t="s">
        <v>29</v>
      </c>
      <c r="E595" t="s">
        <v>200</v>
      </c>
      <c r="F595" t="s">
        <v>45</v>
      </c>
      <c r="G595" t="s">
        <v>40</v>
      </c>
      <c r="H595">
        <v>375</v>
      </c>
    </row>
    <row r="596" spans="1:8" x14ac:dyDescent="0.3">
      <c r="A596" t="s">
        <v>1286</v>
      </c>
      <c r="B596" t="s">
        <v>1287</v>
      </c>
      <c r="C596" t="s">
        <v>57</v>
      </c>
      <c r="D596" t="s">
        <v>45</v>
      </c>
      <c r="E596" t="s">
        <v>72</v>
      </c>
      <c r="F596" t="s">
        <v>24</v>
      </c>
      <c r="G596" t="s">
        <v>45</v>
      </c>
      <c r="H596">
        <v>160.19999999999999</v>
      </c>
    </row>
    <row r="597" spans="1:8" x14ac:dyDescent="0.3">
      <c r="A597" t="s">
        <v>1288</v>
      </c>
      <c r="B597" t="s">
        <v>917</v>
      </c>
      <c r="C597" t="s">
        <v>1019</v>
      </c>
      <c r="D597" t="s">
        <v>53</v>
      </c>
      <c r="E597" t="s">
        <v>76</v>
      </c>
      <c r="F597" t="s">
        <v>45</v>
      </c>
      <c r="G597" t="s">
        <v>14</v>
      </c>
      <c r="H597">
        <v>165.3</v>
      </c>
    </row>
    <row r="598" spans="1:8" x14ac:dyDescent="0.3">
      <c r="A598" t="s">
        <v>1289</v>
      </c>
      <c r="B598" t="s">
        <v>1290</v>
      </c>
      <c r="C598" t="s">
        <v>856</v>
      </c>
      <c r="D598" t="s">
        <v>35</v>
      </c>
      <c r="E598" t="s">
        <v>45</v>
      </c>
      <c r="F598" t="s">
        <v>13</v>
      </c>
      <c r="G598" t="s">
        <v>14</v>
      </c>
      <c r="H598" t="s">
        <v>45</v>
      </c>
    </row>
    <row r="599" spans="1:8" x14ac:dyDescent="0.3">
      <c r="A599" t="s">
        <v>1291</v>
      </c>
      <c r="B599" t="s">
        <v>1176</v>
      </c>
      <c r="C599" t="s">
        <v>825</v>
      </c>
      <c r="D599" t="s">
        <v>29</v>
      </c>
      <c r="E599" t="s">
        <v>168</v>
      </c>
      <c r="F599" t="s">
        <v>13</v>
      </c>
      <c r="G599" t="s">
        <v>14</v>
      </c>
      <c r="H599">
        <v>469</v>
      </c>
    </row>
    <row r="600" spans="1:8" x14ac:dyDescent="0.3">
      <c r="A600" t="s">
        <v>1292</v>
      </c>
      <c r="B600" t="s">
        <v>1293</v>
      </c>
      <c r="C600" t="s">
        <v>396</v>
      </c>
      <c r="D600" t="s">
        <v>53</v>
      </c>
      <c r="E600" t="s">
        <v>83</v>
      </c>
      <c r="F600" t="s">
        <v>54</v>
      </c>
      <c r="G600" t="s">
        <v>14</v>
      </c>
      <c r="H600">
        <v>232.9</v>
      </c>
    </row>
    <row r="601" spans="1:8" x14ac:dyDescent="0.3">
      <c r="A601" t="s">
        <v>1294</v>
      </c>
      <c r="B601" t="s">
        <v>1295</v>
      </c>
      <c r="C601" t="s">
        <v>833</v>
      </c>
      <c r="D601" t="s">
        <v>35</v>
      </c>
      <c r="E601" t="s">
        <v>72</v>
      </c>
      <c r="F601" t="s">
        <v>13</v>
      </c>
      <c r="G601" t="s">
        <v>40</v>
      </c>
      <c r="H601">
        <v>140</v>
      </c>
    </row>
    <row r="602" spans="1:8" x14ac:dyDescent="0.3">
      <c r="A602" t="s">
        <v>1296</v>
      </c>
      <c r="B602" t="s">
        <v>1297</v>
      </c>
      <c r="C602" t="s">
        <v>594</v>
      </c>
      <c r="D602" t="s">
        <v>53</v>
      </c>
      <c r="E602" t="s">
        <v>76</v>
      </c>
      <c r="F602" t="s">
        <v>13</v>
      </c>
      <c r="G602" t="s">
        <v>40</v>
      </c>
      <c r="H602">
        <v>85</v>
      </c>
    </row>
    <row r="603" spans="1:8" x14ac:dyDescent="0.3">
      <c r="A603" t="s">
        <v>1298</v>
      </c>
      <c r="B603" t="s">
        <v>1299</v>
      </c>
      <c r="C603" t="s">
        <v>238</v>
      </c>
      <c r="D603" t="s">
        <v>53</v>
      </c>
      <c r="E603" t="s">
        <v>118</v>
      </c>
      <c r="F603" t="s">
        <v>13</v>
      </c>
      <c r="G603" t="s">
        <v>14</v>
      </c>
      <c r="H603">
        <v>181</v>
      </c>
    </row>
    <row r="604" spans="1:8" x14ac:dyDescent="0.3">
      <c r="A604" t="s">
        <v>1300</v>
      </c>
      <c r="B604" t="s">
        <v>1301</v>
      </c>
      <c r="C604" t="s">
        <v>1302</v>
      </c>
      <c r="D604" t="s">
        <v>53</v>
      </c>
      <c r="E604" t="s">
        <v>118</v>
      </c>
      <c r="F604" t="s">
        <v>13</v>
      </c>
      <c r="G604" t="s">
        <v>14</v>
      </c>
      <c r="H604">
        <v>150</v>
      </c>
    </row>
    <row r="605" spans="1:8" x14ac:dyDescent="0.3">
      <c r="A605" t="s">
        <v>1303</v>
      </c>
      <c r="B605" t="s">
        <v>1304</v>
      </c>
      <c r="C605" t="s">
        <v>360</v>
      </c>
      <c r="D605" t="s">
        <v>18</v>
      </c>
      <c r="E605" t="s">
        <v>19</v>
      </c>
      <c r="F605" t="s">
        <v>31</v>
      </c>
      <c r="G605" t="s">
        <v>268</v>
      </c>
      <c r="H605">
        <v>625</v>
      </c>
    </row>
    <row r="606" spans="1:8" x14ac:dyDescent="0.3">
      <c r="A606" t="s">
        <v>1305</v>
      </c>
      <c r="B606" t="s">
        <v>1306</v>
      </c>
      <c r="C606" t="s">
        <v>694</v>
      </c>
      <c r="D606" t="s">
        <v>29</v>
      </c>
      <c r="E606" t="s">
        <v>49</v>
      </c>
      <c r="F606" t="s">
        <v>54</v>
      </c>
      <c r="G606" t="s">
        <v>14</v>
      </c>
      <c r="H606">
        <v>323</v>
      </c>
    </row>
    <row r="607" spans="1:8" x14ac:dyDescent="0.3">
      <c r="A607" t="s">
        <v>45</v>
      </c>
      <c r="B607" t="s">
        <v>337</v>
      </c>
      <c r="C607" t="s">
        <v>437</v>
      </c>
      <c r="D607" t="s">
        <v>53</v>
      </c>
      <c r="E607" t="s">
        <v>76</v>
      </c>
      <c r="F607" t="s">
        <v>13</v>
      </c>
      <c r="G607" t="s">
        <v>40</v>
      </c>
      <c r="H607">
        <v>525</v>
      </c>
    </row>
    <row r="608" spans="1:8" x14ac:dyDescent="0.3">
      <c r="A608" t="s">
        <v>1307</v>
      </c>
      <c r="B608" t="s">
        <v>884</v>
      </c>
      <c r="C608" t="s">
        <v>503</v>
      </c>
      <c r="D608" t="s">
        <v>29</v>
      </c>
      <c r="E608" t="s">
        <v>123</v>
      </c>
      <c r="F608" t="s">
        <v>13</v>
      </c>
      <c r="G608" t="s">
        <v>65</v>
      </c>
      <c r="H608">
        <v>361</v>
      </c>
    </row>
    <row r="609" spans="1:8" x14ac:dyDescent="0.3">
      <c r="A609" t="s">
        <v>1308</v>
      </c>
      <c r="B609" t="s">
        <v>1309</v>
      </c>
      <c r="C609" t="s">
        <v>594</v>
      </c>
      <c r="D609" t="s">
        <v>35</v>
      </c>
      <c r="E609" t="s">
        <v>140</v>
      </c>
      <c r="F609" t="s">
        <v>54</v>
      </c>
      <c r="G609" t="s">
        <v>25</v>
      </c>
      <c r="H609">
        <v>55.25</v>
      </c>
    </row>
    <row r="610" spans="1:8" x14ac:dyDescent="0.3">
      <c r="A610" t="s">
        <v>1310</v>
      </c>
      <c r="B610" t="s">
        <v>1311</v>
      </c>
      <c r="C610" t="s">
        <v>543</v>
      </c>
      <c r="D610" t="s">
        <v>53</v>
      </c>
      <c r="E610" t="s">
        <v>83</v>
      </c>
      <c r="F610" t="s">
        <v>13</v>
      </c>
      <c r="G610" t="s">
        <v>65</v>
      </c>
      <c r="H610">
        <v>65</v>
      </c>
    </row>
    <row r="611" spans="1:8" x14ac:dyDescent="0.3">
      <c r="A611" t="s">
        <v>1310</v>
      </c>
      <c r="B611" t="s">
        <v>1311</v>
      </c>
      <c r="C611" t="s">
        <v>543</v>
      </c>
      <c r="D611" t="s">
        <v>53</v>
      </c>
      <c r="E611" t="s">
        <v>83</v>
      </c>
      <c r="F611" t="s">
        <v>13</v>
      </c>
      <c r="G611" t="s">
        <v>65</v>
      </c>
      <c r="H611">
        <v>65</v>
      </c>
    </row>
    <row r="612" spans="1:8" x14ac:dyDescent="0.3">
      <c r="A612" t="s">
        <v>1312</v>
      </c>
      <c r="B612" t="s">
        <v>670</v>
      </c>
      <c r="C612" t="s">
        <v>437</v>
      </c>
      <c r="D612" t="s">
        <v>35</v>
      </c>
      <c r="E612" t="s">
        <v>44</v>
      </c>
      <c r="F612" t="s">
        <v>13</v>
      </c>
      <c r="G612" t="s">
        <v>268</v>
      </c>
      <c r="H612">
        <v>174</v>
      </c>
    </row>
    <row r="613" spans="1:8" x14ac:dyDescent="0.3">
      <c r="A613" t="s">
        <v>1313</v>
      </c>
      <c r="B613" t="s">
        <v>1314</v>
      </c>
      <c r="C613" t="s">
        <v>155</v>
      </c>
      <c r="D613" t="s">
        <v>29</v>
      </c>
      <c r="E613" t="s">
        <v>49</v>
      </c>
      <c r="F613" t="s">
        <v>13</v>
      </c>
      <c r="G613" t="s">
        <v>40</v>
      </c>
      <c r="H613">
        <v>68</v>
      </c>
    </row>
    <row r="614" spans="1:8" x14ac:dyDescent="0.3">
      <c r="A614" t="s">
        <v>1315</v>
      </c>
      <c r="B614" t="s">
        <v>1124</v>
      </c>
      <c r="C614" t="s">
        <v>1316</v>
      </c>
      <c r="D614" t="s">
        <v>35</v>
      </c>
      <c r="E614" t="s">
        <v>72</v>
      </c>
      <c r="F614" t="s">
        <v>54</v>
      </c>
      <c r="G614" t="s">
        <v>65</v>
      </c>
      <c r="H614">
        <v>319.60000000000002</v>
      </c>
    </row>
    <row r="615" spans="1:8" x14ac:dyDescent="0.3">
      <c r="A615" t="s">
        <v>1315</v>
      </c>
      <c r="B615" t="s">
        <v>1124</v>
      </c>
      <c r="C615" t="s">
        <v>1316</v>
      </c>
      <c r="D615" t="s">
        <v>35</v>
      </c>
      <c r="E615" t="s">
        <v>72</v>
      </c>
      <c r="F615" t="s">
        <v>54</v>
      </c>
      <c r="G615" t="s">
        <v>65</v>
      </c>
      <c r="H615">
        <v>319.60000000000002</v>
      </c>
    </row>
    <row r="616" spans="1:8" x14ac:dyDescent="0.3">
      <c r="A616" t="s">
        <v>1317</v>
      </c>
      <c r="B616" t="s">
        <v>1318</v>
      </c>
      <c r="C616" t="s">
        <v>174</v>
      </c>
      <c r="D616" t="s">
        <v>29</v>
      </c>
      <c r="E616" t="s">
        <v>49</v>
      </c>
      <c r="F616" t="s">
        <v>13</v>
      </c>
      <c r="G616" t="s">
        <v>14</v>
      </c>
      <c r="H616">
        <v>50</v>
      </c>
    </row>
    <row r="617" spans="1:8" x14ac:dyDescent="0.3">
      <c r="A617" t="s">
        <v>1319</v>
      </c>
      <c r="B617" t="s">
        <v>1320</v>
      </c>
      <c r="C617" t="s">
        <v>700</v>
      </c>
      <c r="D617" t="s">
        <v>18</v>
      </c>
      <c r="E617" t="s">
        <v>87</v>
      </c>
      <c r="F617" t="s">
        <v>13</v>
      </c>
      <c r="G617" t="s">
        <v>25</v>
      </c>
      <c r="H617">
        <v>390</v>
      </c>
    </row>
    <row r="618" spans="1:8" x14ac:dyDescent="0.3">
      <c r="A618" t="s">
        <v>1321</v>
      </c>
      <c r="B618" t="s">
        <v>622</v>
      </c>
      <c r="C618" t="s">
        <v>437</v>
      </c>
      <c r="D618" t="s">
        <v>35</v>
      </c>
      <c r="E618" t="s">
        <v>44</v>
      </c>
      <c r="F618" t="s">
        <v>13</v>
      </c>
      <c r="G618" t="s">
        <v>14</v>
      </c>
      <c r="H618">
        <v>513</v>
      </c>
    </row>
    <row r="619" spans="1:8" x14ac:dyDescent="0.3">
      <c r="A619" t="s">
        <v>1322</v>
      </c>
      <c r="B619" t="s">
        <v>1323</v>
      </c>
      <c r="C619" t="s">
        <v>1096</v>
      </c>
      <c r="D619" t="s">
        <v>35</v>
      </c>
      <c r="E619" t="s">
        <v>36</v>
      </c>
      <c r="F619" t="s">
        <v>13</v>
      </c>
      <c r="G619" t="s">
        <v>14</v>
      </c>
      <c r="H619">
        <v>235</v>
      </c>
    </row>
    <row r="620" spans="1:8" x14ac:dyDescent="0.3">
      <c r="A620" t="s">
        <v>1324</v>
      </c>
      <c r="B620" t="s">
        <v>1325</v>
      </c>
      <c r="C620" t="s">
        <v>219</v>
      </c>
      <c r="D620" t="s">
        <v>53</v>
      </c>
      <c r="E620" t="s">
        <v>83</v>
      </c>
      <c r="F620" t="s">
        <v>13</v>
      </c>
      <c r="G620" t="s">
        <v>65</v>
      </c>
      <c r="H620">
        <v>235</v>
      </c>
    </row>
    <row r="621" spans="1:8" x14ac:dyDescent="0.3">
      <c r="A621" t="s">
        <v>1326</v>
      </c>
      <c r="B621" t="s">
        <v>1327</v>
      </c>
      <c r="C621" t="s">
        <v>60</v>
      </c>
      <c r="D621" t="s">
        <v>18</v>
      </c>
      <c r="E621" t="s">
        <v>295</v>
      </c>
      <c r="F621" t="s">
        <v>13</v>
      </c>
      <c r="G621" t="s">
        <v>40</v>
      </c>
      <c r="H621" t="s">
        <v>45</v>
      </c>
    </row>
    <row r="622" spans="1:8" x14ac:dyDescent="0.3">
      <c r="A622" t="s">
        <v>45</v>
      </c>
      <c r="B622" t="s">
        <v>1328</v>
      </c>
      <c r="C622" t="s">
        <v>17</v>
      </c>
      <c r="D622" t="s">
        <v>29</v>
      </c>
      <c r="E622" t="s">
        <v>30</v>
      </c>
      <c r="F622" t="s">
        <v>54</v>
      </c>
      <c r="G622" t="s">
        <v>40</v>
      </c>
      <c r="H622">
        <v>196.35</v>
      </c>
    </row>
    <row r="623" spans="1:8" x14ac:dyDescent="0.3">
      <c r="A623" t="s">
        <v>1329</v>
      </c>
      <c r="B623" t="s">
        <v>1328</v>
      </c>
      <c r="C623" t="s">
        <v>17</v>
      </c>
      <c r="D623" t="s">
        <v>29</v>
      </c>
      <c r="E623" t="s">
        <v>30</v>
      </c>
      <c r="F623" t="s">
        <v>54</v>
      </c>
      <c r="G623" t="s">
        <v>40</v>
      </c>
      <c r="H623">
        <v>196.35</v>
      </c>
    </row>
    <row r="624" spans="1:8" x14ac:dyDescent="0.3">
      <c r="A624" t="s">
        <v>1330</v>
      </c>
      <c r="B624" t="s">
        <v>1331</v>
      </c>
      <c r="C624" t="s">
        <v>713</v>
      </c>
      <c r="D624" t="s">
        <v>29</v>
      </c>
      <c r="E624" t="s">
        <v>123</v>
      </c>
      <c r="F624" t="s">
        <v>13</v>
      </c>
      <c r="G624" t="s">
        <v>65</v>
      </c>
      <c r="H624">
        <v>515</v>
      </c>
    </row>
    <row r="625" spans="1:8" x14ac:dyDescent="0.3">
      <c r="A625" t="s">
        <v>1332</v>
      </c>
      <c r="B625" t="s">
        <v>947</v>
      </c>
      <c r="C625" t="s">
        <v>534</v>
      </c>
      <c r="D625" t="s">
        <v>53</v>
      </c>
      <c r="E625" t="s">
        <v>118</v>
      </c>
      <c r="F625" t="s">
        <v>54</v>
      </c>
      <c r="G625" t="s">
        <v>25</v>
      </c>
      <c r="H625">
        <v>522.75</v>
      </c>
    </row>
    <row r="626" spans="1:8" x14ac:dyDescent="0.3">
      <c r="A626" t="s">
        <v>45</v>
      </c>
      <c r="B626" t="s">
        <v>1333</v>
      </c>
      <c r="C626" t="s">
        <v>17</v>
      </c>
      <c r="D626" t="s">
        <v>18</v>
      </c>
      <c r="E626" t="s">
        <v>87</v>
      </c>
      <c r="F626" t="s">
        <v>13</v>
      </c>
      <c r="G626" t="s">
        <v>14</v>
      </c>
      <c r="H626">
        <v>314</v>
      </c>
    </row>
    <row r="627" spans="1:8" x14ac:dyDescent="0.3">
      <c r="A627" t="s">
        <v>1334</v>
      </c>
      <c r="B627" t="s">
        <v>453</v>
      </c>
      <c r="C627" t="s">
        <v>161</v>
      </c>
      <c r="D627" t="s">
        <v>35</v>
      </c>
      <c r="E627" t="s">
        <v>36</v>
      </c>
      <c r="F627" t="s">
        <v>158</v>
      </c>
      <c r="G627" t="s">
        <v>14</v>
      </c>
      <c r="H627">
        <v>302.10000000000002</v>
      </c>
    </row>
    <row r="628" spans="1:8" x14ac:dyDescent="0.3">
      <c r="A628" t="s">
        <v>1335</v>
      </c>
      <c r="B628" t="s">
        <v>237</v>
      </c>
      <c r="C628" t="s">
        <v>881</v>
      </c>
      <c r="D628" t="s">
        <v>35</v>
      </c>
      <c r="E628" t="s">
        <v>36</v>
      </c>
      <c r="F628" t="s">
        <v>13</v>
      </c>
      <c r="G628" t="s">
        <v>25</v>
      </c>
      <c r="H628">
        <v>440</v>
      </c>
    </row>
    <row r="629" spans="1:8" x14ac:dyDescent="0.3">
      <c r="A629" t="s">
        <v>1336</v>
      </c>
      <c r="B629" t="s">
        <v>1337</v>
      </c>
      <c r="C629" t="s">
        <v>276</v>
      </c>
      <c r="D629" t="s">
        <v>29</v>
      </c>
      <c r="E629" t="s">
        <v>30</v>
      </c>
      <c r="F629" t="s">
        <v>13</v>
      </c>
      <c r="G629" t="s">
        <v>14</v>
      </c>
      <c r="H629">
        <v>346</v>
      </c>
    </row>
    <row r="630" spans="1:8" x14ac:dyDescent="0.3">
      <c r="A630" t="s">
        <v>1338</v>
      </c>
      <c r="B630" t="s">
        <v>699</v>
      </c>
      <c r="C630" t="s">
        <v>68</v>
      </c>
      <c r="D630" t="s">
        <v>157</v>
      </c>
      <c r="E630" t="s">
        <v>83</v>
      </c>
      <c r="F630" t="s">
        <v>13</v>
      </c>
      <c r="G630" t="s">
        <v>14</v>
      </c>
      <c r="H630">
        <v>430</v>
      </c>
    </row>
    <row r="631" spans="1:8" x14ac:dyDescent="0.3">
      <c r="A631" t="s">
        <v>1339</v>
      </c>
      <c r="B631" t="s">
        <v>31</v>
      </c>
      <c r="C631" t="s">
        <v>310</v>
      </c>
      <c r="D631" t="s">
        <v>35</v>
      </c>
      <c r="E631" t="s">
        <v>72</v>
      </c>
      <c r="F631" t="s">
        <v>13</v>
      </c>
      <c r="G631" t="s">
        <v>25</v>
      </c>
      <c r="H631">
        <v>276</v>
      </c>
    </row>
    <row r="632" spans="1:8" x14ac:dyDescent="0.3">
      <c r="A632" t="s">
        <v>1340</v>
      </c>
      <c r="B632" t="s">
        <v>1341</v>
      </c>
      <c r="C632" t="s">
        <v>760</v>
      </c>
      <c r="D632" t="s">
        <v>18</v>
      </c>
      <c r="E632" t="s">
        <v>19</v>
      </c>
      <c r="F632" t="s">
        <v>13</v>
      </c>
      <c r="G632" t="s">
        <v>40</v>
      </c>
      <c r="H632">
        <v>260</v>
      </c>
    </row>
    <row r="633" spans="1:8" x14ac:dyDescent="0.3">
      <c r="A633" t="s">
        <v>1342</v>
      </c>
      <c r="B633" t="s">
        <v>1008</v>
      </c>
      <c r="C633" t="s">
        <v>186</v>
      </c>
      <c r="D633" t="s">
        <v>29</v>
      </c>
      <c r="E633" t="s">
        <v>168</v>
      </c>
      <c r="F633" t="s">
        <v>31</v>
      </c>
      <c r="G633" t="s">
        <v>40</v>
      </c>
      <c r="H633">
        <v>55.25</v>
      </c>
    </row>
    <row r="634" spans="1:8" x14ac:dyDescent="0.3">
      <c r="A634" t="s">
        <v>1343</v>
      </c>
      <c r="B634" t="s">
        <v>1344</v>
      </c>
      <c r="C634" t="s">
        <v>98</v>
      </c>
      <c r="D634" t="s">
        <v>35</v>
      </c>
      <c r="E634" t="s">
        <v>72</v>
      </c>
      <c r="F634" t="s">
        <v>13</v>
      </c>
      <c r="G634" t="s">
        <v>40</v>
      </c>
      <c r="H634">
        <v>116</v>
      </c>
    </row>
    <row r="635" spans="1:8" x14ac:dyDescent="0.3">
      <c r="A635" t="s">
        <v>1345</v>
      </c>
      <c r="B635" t="s">
        <v>1089</v>
      </c>
      <c r="C635" t="s">
        <v>352</v>
      </c>
      <c r="D635" t="s">
        <v>18</v>
      </c>
      <c r="E635" t="s">
        <v>23</v>
      </c>
      <c r="F635" t="s">
        <v>24</v>
      </c>
      <c r="G635" t="s">
        <v>31</v>
      </c>
      <c r="H635">
        <v>504</v>
      </c>
    </row>
    <row r="636" spans="1:8" x14ac:dyDescent="0.3">
      <c r="A636" t="s">
        <v>1346</v>
      </c>
      <c r="B636" t="s">
        <v>1347</v>
      </c>
      <c r="C636" t="s">
        <v>463</v>
      </c>
      <c r="D636" t="s">
        <v>29</v>
      </c>
      <c r="E636" t="s">
        <v>30</v>
      </c>
      <c r="F636" t="s">
        <v>322</v>
      </c>
      <c r="G636" t="s">
        <v>14</v>
      </c>
      <c r="H636">
        <v>634.5</v>
      </c>
    </row>
    <row r="637" spans="1:8" x14ac:dyDescent="0.3">
      <c r="A637" t="s">
        <v>1348</v>
      </c>
      <c r="B637" t="s">
        <v>1349</v>
      </c>
      <c r="C637" t="s">
        <v>180</v>
      </c>
      <c r="D637" t="s">
        <v>35</v>
      </c>
      <c r="E637" t="s">
        <v>340</v>
      </c>
      <c r="F637" t="s">
        <v>13</v>
      </c>
      <c r="G637" t="s">
        <v>25</v>
      </c>
      <c r="H637">
        <v>490</v>
      </c>
    </row>
    <row r="638" spans="1:8" x14ac:dyDescent="0.3">
      <c r="A638" t="s">
        <v>1350</v>
      </c>
      <c r="B638" t="s">
        <v>1351</v>
      </c>
      <c r="C638" t="s">
        <v>245</v>
      </c>
      <c r="D638" t="s">
        <v>53</v>
      </c>
      <c r="E638" t="s">
        <v>104</v>
      </c>
      <c r="F638" t="s">
        <v>13</v>
      </c>
      <c r="G638" t="s">
        <v>65</v>
      </c>
      <c r="H638">
        <v>236</v>
      </c>
    </row>
    <row r="639" spans="1:8" x14ac:dyDescent="0.3">
      <c r="A639" t="s">
        <v>1352</v>
      </c>
      <c r="B639" t="s">
        <v>38</v>
      </c>
      <c r="C639" t="s">
        <v>122</v>
      </c>
      <c r="D639" t="s">
        <v>29</v>
      </c>
      <c r="E639" t="s">
        <v>1245</v>
      </c>
      <c r="F639" t="s">
        <v>13</v>
      </c>
      <c r="G639" t="s">
        <v>14</v>
      </c>
      <c r="H639">
        <v>239</v>
      </c>
    </row>
    <row r="640" spans="1:8" x14ac:dyDescent="0.3">
      <c r="A640" t="s">
        <v>1353</v>
      </c>
      <c r="B640" t="s">
        <v>1354</v>
      </c>
      <c r="C640" t="s">
        <v>224</v>
      </c>
      <c r="D640" t="s">
        <v>29</v>
      </c>
      <c r="E640" t="s">
        <v>30</v>
      </c>
      <c r="F640" t="s">
        <v>13</v>
      </c>
      <c r="G640" t="s">
        <v>14</v>
      </c>
      <c r="H640">
        <v>520</v>
      </c>
    </row>
    <row r="641" spans="1:8" x14ac:dyDescent="0.3">
      <c r="A641" t="s">
        <v>1355</v>
      </c>
      <c r="B641" t="s">
        <v>863</v>
      </c>
      <c r="C641" t="s">
        <v>343</v>
      </c>
      <c r="D641" t="s">
        <v>53</v>
      </c>
      <c r="E641" t="s">
        <v>104</v>
      </c>
      <c r="F641" t="s">
        <v>24</v>
      </c>
      <c r="G641" t="s">
        <v>65</v>
      </c>
      <c r="H641">
        <v>72</v>
      </c>
    </row>
    <row r="642" spans="1:8" x14ac:dyDescent="0.3">
      <c r="A642" t="s">
        <v>1356</v>
      </c>
      <c r="B642" t="s">
        <v>1357</v>
      </c>
      <c r="C642" t="s">
        <v>388</v>
      </c>
      <c r="D642" t="s">
        <v>29</v>
      </c>
      <c r="E642" t="s">
        <v>45</v>
      </c>
      <c r="F642" t="s">
        <v>13</v>
      </c>
      <c r="G642" t="s">
        <v>65</v>
      </c>
      <c r="H642">
        <v>437</v>
      </c>
    </row>
    <row r="643" spans="1:8" x14ac:dyDescent="0.3">
      <c r="A643" t="s">
        <v>1358</v>
      </c>
      <c r="B643" t="s">
        <v>1359</v>
      </c>
      <c r="C643" t="s">
        <v>264</v>
      </c>
      <c r="D643" t="s">
        <v>29</v>
      </c>
      <c r="E643" t="s">
        <v>45</v>
      </c>
      <c r="F643" t="s">
        <v>158</v>
      </c>
      <c r="G643" t="s">
        <v>25</v>
      </c>
      <c r="H643">
        <v>47.5</v>
      </c>
    </row>
    <row r="644" spans="1:8" x14ac:dyDescent="0.3">
      <c r="A644" t="s">
        <v>1360</v>
      </c>
      <c r="B644" t="s">
        <v>1361</v>
      </c>
      <c r="C644" t="s">
        <v>203</v>
      </c>
      <c r="D644" t="s">
        <v>35</v>
      </c>
      <c r="E644" t="s">
        <v>45</v>
      </c>
      <c r="F644" t="s">
        <v>13</v>
      </c>
      <c r="G644" t="s">
        <v>25</v>
      </c>
      <c r="H644">
        <v>100</v>
      </c>
    </row>
    <row r="645" spans="1:8" x14ac:dyDescent="0.3">
      <c r="A645" t="s">
        <v>1362</v>
      </c>
      <c r="B645" t="s">
        <v>1363</v>
      </c>
      <c r="C645" t="s">
        <v>918</v>
      </c>
      <c r="D645" t="s">
        <v>53</v>
      </c>
      <c r="E645" t="s">
        <v>76</v>
      </c>
      <c r="F645" t="s">
        <v>24</v>
      </c>
      <c r="G645" t="s">
        <v>65</v>
      </c>
      <c r="H645">
        <v>517.5</v>
      </c>
    </row>
    <row r="646" spans="1:8" x14ac:dyDescent="0.3">
      <c r="A646" t="s">
        <v>1364</v>
      </c>
      <c r="B646" t="s">
        <v>1365</v>
      </c>
      <c r="C646" t="s">
        <v>276</v>
      </c>
      <c r="D646" t="s">
        <v>29</v>
      </c>
      <c r="E646" t="s">
        <v>49</v>
      </c>
      <c r="F646" t="s">
        <v>24</v>
      </c>
      <c r="G646" t="s">
        <v>14</v>
      </c>
      <c r="H646">
        <v>468.9</v>
      </c>
    </row>
    <row r="647" spans="1:8" x14ac:dyDescent="0.3">
      <c r="A647" t="s">
        <v>1366</v>
      </c>
      <c r="B647" t="s">
        <v>1367</v>
      </c>
      <c r="C647" t="s">
        <v>454</v>
      </c>
      <c r="D647" t="s">
        <v>29</v>
      </c>
      <c r="E647" t="s">
        <v>30</v>
      </c>
      <c r="F647" t="s">
        <v>13</v>
      </c>
      <c r="G647" t="s">
        <v>25</v>
      </c>
      <c r="H647">
        <v>95</v>
      </c>
    </row>
    <row r="648" spans="1:8" x14ac:dyDescent="0.3">
      <c r="A648" t="s">
        <v>1368</v>
      </c>
      <c r="B648" t="s">
        <v>1369</v>
      </c>
      <c r="C648" t="s">
        <v>57</v>
      </c>
      <c r="D648" t="s">
        <v>29</v>
      </c>
      <c r="E648" t="s">
        <v>123</v>
      </c>
      <c r="F648" t="s">
        <v>13</v>
      </c>
      <c r="G648" t="s">
        <v>25</v>
      </c>
      <c r="H648">
        <v>170</v>
      </c>
    </row>
    <row r="649" spans="1:8" x14ac:dyDescent="0.3">
      <c r="A649" t="s">
        <v>1370</v>
      </c>
      <c r="B649" t="s">
        <v>1371</v>
      </c>
      <c r="C649" t="s">
        <v>766</v>
      </c>
      <c r="D649" t="s">
        <v>18</v>
      </c>
      <c r="E649" t="s">
        <v>19</v>
      </c>
      <c r="F649" t="s">
        <v>13</v>
      </c>
      <c r="G649" t="s">
        <v>25</v>
      </c>
      <c r="H649">
        <v>596</v>
      </c>
    </row>
    <row r="650" spans="1:8" x14ac:dyDescent="0.3">
      <c r="A650" t="s">
        <v>1372</v>
      </c>
      <c r="B650" t="s">
        <v>687</v>
      </c>
      <c r="C650" t="s">
        <v>1185</v>
      </c>
      <c r="D650" t="s">
        <v>29</v>
      </c>
      <c r="E650" t="s">
        <v>30</v>
      </c>
      <c r="F650" t="s">
        <v>24</v>
      </c>
      <c r="G650" t="s">
        <v>65</v>
      </c>
      <c r="H650">
        <v>124.2</v>
      </c>
    </row>
    <row r="651" spans="1:8" x14ac:dyDescent="0.3">
      <c r="A651" t="s">
        <v>1373</v>
      </c>
      <c r="B651" t="s">
        <v>45</v>
      </c>
      <c r="C651" t="s">
        <v>457</v>
      </c>
      <c r="D651" t="s">
        <v>18</v>
      </c>
      <c r="E651" t="s">
        <v>295</v>
      </c>
      <c r="F651" t="s">
        <v>13</v>
      </c>
      <c r="G651" t="s">
        <v>25</v>
      </c>
      <c r="H651">
        <v>425</v>
      </c>
    </row>
    <row r="652" spans="1:8" x14ac:dyDescent="0.3">
      <c r="A652" t="s">
        <v>1374</v>
      </c>
      <c r="B652" t="s">
        <v>1375</v>
      </c>
      <c r="C652" t="s">
        <v>485</v>
      </c>
      <c r="D652" t="s">
        <v>53</v>
      </c>
      <c r="E652" t="s">
        <v>31</v>
      </c>
      <c r="F652" t="s">
        <v>13</v>
      </c>
      <c r="G652" t="s">
        <v>45</v>
      </c>
      <c r="H652">
        <v>340</v>
      </c>
    </row>
    <row r="653" spans="1:8" x14ac:dyDescent="0.3">
      <c r="A653" t="s">
        <v>1376</v>
      </c>
      <c r="B653" t="s">
        <v>1377</v>
      </c>
      <c r="C653" t="s">
        <v>233</v>
      </c>
      <c r="D653" t="s">
        <v>35</v>
      </c>
      <c r="E653" t="s">
        <v>140</v>
      </c>
      <c r="F653" t="s">
        <v>13</v>
      </c>
      <c r="G653" t="s">
        <v>65</v>
      </c>
      <c r="H653" t="s">
        <v>45</v>
      </c>
    </row>
    <row r="654" spans="1:8" x14ac:dyDescent="0.3">
      <c r="A654" t="s">
        <v>1378</v>
      </c>
      <c r="B654" t="s">
        <v>1379</v>
      </c>
      <c r="C654" t="s">
        <v>457</v>
      </c>
      <c r="D654" t="s">
        <v>18</v>
      </c>
      <c r="E654" t="s">
        <v>231</v>
      </c>
      <c r="F654" t="s">
        <v>54</v>
      </c>
      <c r="G654" t="s">
        <v>14</v>
      </c>
      <c r="H654">
        <v>326.39999999999998</v>
      </c>
    </row>
    <row r="655" spans="1:8" x14ac:dyDescent="0.3">
      <c r="A655" t="s">
        <v>45</v>
      </c>
      <c r="B655" t="s">
        <v>45</v>
      </c>
      <c r="C655" t="s">
        <v>147</v>
      </c>
      <c r="D655" t="s">
        <v>29</v>
      </c>
      <c r="E655" t="s">
        <v>200</v>
      </c>
      <c r="F655" t="s">
        <v>13</v>
      </c>
      <c r="G655" t="s">
        <v>119</v>
      </c>
      <c r="H655">
        <v>204</v>
      </c>
    </row>
    <row r="656" spans="1:8" x14ac:dyDescent="0.3">
      <c r="A656" t="s">
        <v>1380</v>
      </c>
      <c r="B656" t="s">
        <v>1081</v>
      </c>
      <c r="C656" t="s">
        <v>743</v>
      </c>
      <c r="D656" t="s">
        <v>35</v>
      </c>
      <c r="E656" t="s">
        <v>340</v>
      </c>
      <c r="F656" t="s">
        <v>13</v>
      </c>
      <c r="G656" t="s">
        <v>65</v>
      </c>
      <c r="H656">
        <v>100</v>
      </c>
    </row>
    <row r="657" spans="1:8" x14ac:dyDescent="0.3">
      <c r="A657" t="s">
        <v>1381</v>
      </c>
      <c r="B657" t="s">
        <v>1382</v>
      </c>
      <c r="C657" t="s">
        <v>233</v>
      </c>
      <c r="D657" t="s">
        <v>18</v>
      </c>
      <c r="E657" t="s">
        <v>19</v>
      </c>
      <c r="F657" t="s">
        <v>13</v>
      </c>
      <c r="G657" t="s">
        <v>65</v>
      </c>
      <c r="H657">
        <v>204</v>
      </c>
    </row>
    <row r="658" spans="1:8" x14ac:dyDescent="0.3">
      <c r="A658" t="s">
        <v>1383</v>
      </c>
      <c r="B658" t="s">
        <v>1384</v>
      </c>
      <c r="C658" t="s">
        <v>503</v>
      </c>
      <c r="D658" t="s">
        <v>18</v>
      </c>
      <c r="E658" t="s">
        <v>12</v>
      </c>
      <c r="F658" t="s">
        <v>13</v>
      </c>
      <c r="G658" t="s">
        <v>40</v>
      </c>
      <c r="H658">
        <v>628</v>
      </c>
    </row>
    <row r="659" spans="1:8" x14ac:dyDescent="0.3">
      <c r="A659" t="s">
        <v>1385</v>
      </c>
      <c r="B659" t="s">
        <v>1386</v>
      </c>
      <c r="C659" t="s">
        <v>396</v>
      </c>
      <c r="D659" t="s">
        <v>157</v>
      </c>
      <c r="E659" t="s">
        <v>104</v>
      </c>
      <c r="F659" t="s">
        <v>13</v>
      </c>
      <c r="G659" t="s">
        <v>40</v>
      </c>
      <c r="H659">
        <v>255</v>
      </c>
    </row>
    <row r="660" spans="1:8" x14ac:dyDescent="0.3">
      <c r="A660" t="s">
        <v>45</v>
      </c>
      <c r="B660" t="s">
        <v>1387</v>
      </c>
      <c r="C660" t="s">
        <v>1070</v>
      </c>
      <c r="D660" t="s">
        <v>53</v>
      </c>
      <c r="E660" t="s">
        <v>31</v>
      </c>
      <c r="F660" t="s">
        <v>13</v>
      </c>
      <c r="G660" t="s">
        <v>65</v>
      </c>
      <c r="H660">
        <v>771</v>
      </c>
    </row>
    <row r="661" spans="1:8" x14ac:dyDescent="0.3">
      <c r="A661" t="s">
        <v>1388</v>
      </c>
      <c r="B661" t="s">
        <v>1389</v>
      </c>
      <c r="C661" t="s">
        <v>303</v>
      </c>
      <c r="D661" t="s">
        <v>53</v>
      </c>
      <c r="E661" t="s">
        <v>771</v>
      </c>
      <c r="F661" t="s">
        <v>64</v>
      </c>
      <c r="G661" t="s">
        <v>65</v>
      </c>
      <c r="H661">
        <v>569</v>
      </c>
    </row>
    <row r="662" spans="1:8" x14ac:dyDescent="0.3">
      <c r="A662" t="s">
        <v>1390</v>
      </c>
      <c r="B662" t="s">
        <v>693</v>
      </c>
      <c r="C662" t="s">
        <v>1391</v>
      </c>
      <c r="D662" t="s">
        <v>35</v>
      </c>
      <c r="E662" t="s">
        <v>44</v>
      </c>
      <c r="F662" t="s">
        <v>158</v>
      </c>
      <c r="G662" t="s">
        <v>25</v>
      </c>
      <c r="H662">
        <v>270.75</v>
      </c>
    </row>
    <row r="663" spans="1:8" x14ac:dyDescent="0.3">
      <c r="A663" t="s">
        <v>1392</v>
      </c>
      <c r="B663" t="s">
        <v>1393</v>
      </c>
      <c r="C663" t="s">
        <v>1077</v>
      </c>
      <c r="D663" t="s">
        <v>29</v>
      </c>
      <c r="E663" t="s">
        <v>200</v>
      </c>
      <c r="F663" t="s">
        <v>13</v>
      </c>
      <c r="G663" t="s">
        <v>14</v>
      </c>
      <c r="H663">
        <v>320</v>
      </c>
    </row>
    <row r="664" spans="1:8" x14ac:dyDescent="0.3">
      <c r="A664" t="s">
        <v>1394</v>
      </c>
      <c r="B664" t="s">
        <v>1395</v>
      </c>
      <c r="C664" t="s">
        <v>381</v>
      </c>
      <c r="D664" t="s">
        <v>18</v>
      </c>
      <c r="E664" t="s">
        <v>295</v>
      </c>
      <c r="F664" t="s">
        <v>13</v>
      </c>
      <c r="G664" t="s">
        <v>40</v>
      </c>
      <c r="H664">
        <v>628</v>
      </c>
    </row>
    <row r="665" spans="1:8" x14ac:dyDescent="0.3">
      <c r="A665" t="s">
        <v>1396</v>
      </c>
      <c r="B665" t="s">
        <v>1397</v>
      </c>
      <c r="C665" t="s">
        <v>213</v>
      </c>
      <c r="D665" t="s">
        <v>35</v>
      </c>
      <c r="E665" t="s">
        <v>72</v>
      </c>
      <c r="F665" t="s">
        <v>13</v>
      </c>
      <c r="G665" t="s">
        <v>25</v>
      </c>
      <c r="H665">
        <v>476</v>
      </c>
    </row>
    <row r="666" spans="1:8" x14ac:dyDescent="0.3">
      <c r="A666" t="s">
        <v>1398</v>
      </c>
      <c r="B666" t="s">
        <v>1399</v>
      </c>
      <c r="C666" t="s">
        <v>1198</v>
      </c>
      <c r="D666" t="s">
        <v>35</v>
      </c>
      <c r="E666" t="s">
        <v>44</v>
      </c>
      <c r="F666" t="s">
        <v>13</v>
      </c>
      <c r="G666" t="s">
        <v>40</v>
      </c>
      <c r="H666">
        <v>240</v>
      </c>
    </row>
    <row r="667" spans="1:8" x14ac:dyDescent="0.3">
      <c r="A667" t="s">
        <v>1400</v>
      </c>
      <c r="B667" t="s">
        <v>1401</v>
      </c>
      <c r="C667" t="s">
        <v>425</v>
      </c>
      <c r="D667" t="s">
        <v>18</v>
      </c>
      <c r="E667" t="s">
        <v>23</v>
      </c>
      <c r="F667" t="s">
        <v>24</v>
      </c>
      <c r="G667" t="s">
        <v>25</v>
      </c>
      <c r="H667">
        <v>495.9</v>
      </c>
    </row>
    <row r="668" spans="1:8" x14ac:dyDescent="0.3">
      <c r="A668" t="s">
        <v>1402</v>
      </c>
      <c r="B668" t="s">
        <v>1403</v>
      </c>
      <c r="C668" t="s">
        <v>930</v>
      </c>
      <c r="D668" t="s">
        <v>35</v>
      </c>
      <c r="E668" t="s">
        <v>44</v>
      </c>
      <c r="F668" t="s">
        <v>13</v>
      </c>
      <c r="G668" t="s">
        <v>25</v>
      </c>
      <c r="H668">
        <v>600</v>
      </c>
    </row>
    <row r="669" spans="1:8" x14ac:dyDescent="0.3">
      <c r="A669" t="s">
        <v>1404</v>
      </c>
      <c r="B669" t="s">
        <v>1405</v>
      </c>
      <c r="C669" t="s">
        <v>1191</v>
      </c>
      <c r="D669" t="s">
        <v>53</v>
      </c>
      <c r="E669" t="s">
        <v>76</v>
      </c>
      <c r="F669" t="s">
        <v>13</v>
      </c>
      <c r="G669" t="s">
        <v>65</v>
      </c>
      <c r="H669">
        <v>444</v>
      </c>
    </row>
    <row r="670" spans="1:8" x14ac:dyDescent="0.3">
      <c r="A670" t="s">
        <v>1406</v>
      </c>
      <c r="B670" t="s">
        <v>163</v>
      </c>
      <c r="C670" t="s">
        <v>566</v>
      </c>
      <c r="D670" t="s">
        <v>53</v>
      </c>
      <c r="E670" t="s">
        <v>83</v>
      </c>
      <c r="F670" t="s">
        <v>13</v>
      </c>
      <c r="G670" t="s">
        <v>14</v>
      </c>
      <c r="H670">
        <v>465</v>
      </c>
    </row>
    <row r="671" spans="1:8" x14ac:dyDescent="0.3">
      <c r="A671" t="s">
        <v>1407</v>
      </c>
      <c r="B671" t="s">
        <v>1408</v>
      </c>
      <c r="C671" t="s">
        <v>1242</v>
      </c>
      <c r="D671" t="s">
        <v>53</v>
      </c>
      <c r="E671" t="s">
        <v>138</v>
      </c>
      <c r="F671" t="s">
        <v>13</v>
      </c>
      <c r="G671" t="s">
        <v>144</v>
      </c>
      <c r="H671">
        <v>210</v>
      </c>
    </row>
    <row r="672" spans="1:8" x14ac:dyDescent="0.3">
      <c r="A672" t="s">
        <v>1409</v>
      </c>
      <c r="B672" t="s">
        <v>979</v>
      </c>
      <c r="C672" t="s">
        <v>352</v>
      </c>
      <c r="D672" t="s">
        <v>18</v>
      </c>
      <c r="E672" t="s">
        <v>19</v>
      </c>
      <c r="F672" t="s">
        <v>13</v>
      </c>
      <c r="G672" t="s">
        <v>65</v>
      </c>
      <c r="H672">
        <v>376</v>
      </c>
    </row>
    <row r="673" spans="1:8" x14ac:dyDescent="0.3">
      <c r="A673" t="s">
        <v>1410</v>
      </c>
      <c r="B673" t="s">
        <v>1008</v>
      </c>
      <c r="C673" t="s">
        <v>219</v>
      </c>
      <c r="D673" t="s">
        <v>29</v>
      </c>
      <c r="E673" t="s">
        <v>49</v>
      </c>
      <c r="F673" t="s">
        <v>64</v>
      </c>
      <c r="G673" t="s">
        <v>45</v>
      </c>
      <c r="H673">
        <v>68</v>
      </c>
    </row>
    <row r="674" spans="1:8" x14ac:dyDescent="0.3">
      <c r="A674" t="s">
        <v>1411</v>
      </c>
      <c r="B674" t="s">
        <v>380</v>
      </c>
      <c r="C674" t="s">
        <v>147</v>
      </c>
      <c r="D674" t="s">
        <v>18</v>
      </c>
      <c r="E674" t="s">
        <v>19</v>
      </c>
      <c r="F674" t="s">
        <v>54</v>
      </c>
      <c r="G674" t="s">
        <v>65</v>
      </c>
      <c r="H674">
        <v>425</v>
      </c>
    </row>
    <row r="675" spans="1:8" x14ac:dyDescent="0.3">
      <c r="A675" t="s">
        <v>1412</v>
      </c>
      <c r="B675" t="s">
        <v>410</v>
      </c>
      <c r="C675" t="s">
        <v>45</v>
      </c>
      <c r="D675" t="s">
        <v>35</v>
      </c>
      <c r="E675" t="s">
        <v>654</v>
      </c>
      <c r="F675" t="s">
        <v>13</v>
      </c>
      <c r="G675" t="s">
        <v>65</v>
      </c>
      <c r="H675">
        <v>524</v>
      </c>
    </row>
    <row r="676" spans="1:8" x14ac:dyDescent="0.3">
      <c r="A676" t="s">
        <v>1413</v>
      </c>
      <c r="B676" t="s">
        <v>21</v>
      </c>
      <c r="C676" t="s">
        <v>203</v>
      </c>
      <c r="D676" t="s">
        <v>29</v>
      </c>
      <c r="E676" t="s">
        <v>200</v>
      </c>
      <c r="F676" t="s">
        <v>13</v>
      </c>
      <c r="G676" t="s">
        <v>40</v>
      </c>
      <c r="H676">
        <v>363</v>
      </c>
    </row>
    <row r="677" spans="1:8" x14ac:dyDescent="0.3">
      <c r="A677" t="s">
        <v>1414</v>
      </c>
      <c r="B677" t="s">
        <v>1415</v>
      </c>
      <c r="C677" t="s">
        <v>93</v>
      </c>
      <c r="D677" t="s">
        <v>35</v>
      </c>
      <c r="E677" t="s">
        <v>72</v>
      </c>
      <c r="F677" t="s">
        <v>13</v>
      </c>
      <c r="G677" t="s">
        <v>40</v>
      </c>
      <c r="H677">
        <v>614</v>
      </c>
    </row>
    <row r="678" spans="1:8" x14ac:dyDescent="0.3">
      <c r="A678" t="s">
        <v>1416</v>
      </c>
      <c r="B678" t="s">
        <v>1417</v>
      </c>
      <c r="C678" t="s">
        <v>770</v>
      </c>
      <c r="D678" t="s">
        <v>35</v>
      </c>
      <c r="E678" t="s">
        <v>44</v>
      </c>
      <c r="F678" t="s">
        <v>13</v>
      </c>
      <c r="G678" t="s">
        <v>14</v>
      </c>
      <c r="H678">
        <v>390</v>
      </c>
    </row>
    <row r="679" spans="1:8" x14ac:dyDescent="0.3">
      <c r="A679" t="s">
        <v>1418</v>
      </c>
      <c r="B679" t="s">
        <v>1419</v>
      </c>
      <c r="C679" t="s">
        <v>615</v>
      </c>
      <c r="D679" t="s">
        <v>18</v>
      </c>
      <c r="E679" t="s">
        <v>23</v>
      </c>
      <c r="F679" t="s">
        <v>24</v>
      </c>
      <c r="G679" t="s">
        <v>65</v>
      </c>
      <c r="H679">
        <v>594.9</v>
      </c>
    </row>
    <row r="680" spans="1:8" x14ac:dyDescent="0.3">
      <c r="A680" t="s">
        <v>1420</v>
      </c>
      <c r="B680" t="s">
        <v>1421</v>
      </c>
      <c r="C680" t="s">
        <v>213</v>
      </c>
      <c r="D680" t="s">
        <v>35</v>
      </c>
      <c r="E680" t="s">
        <v>44</v>
      </c>
      <c r="F680" t="s">
        <v>158</v>
      </c>
      <c r="G680" t="s">
        <v>14</v>
      </c>
      <c r="H680">
        <v>180.5</v>
      </c>
    </row>
    <row r="681" spans="1:8" x14ac:dyDescent="0.3">
      <c r="A681" t="s">
        <v>1422</v>
      </c>
      <c r="B681" t="s">
        <v>1423</v>
      </c>
      <c r="C681" t="s">
        <v>1105</v>
      </c>
      <c r="D681" t="s">
        <v>29</v>
      </c>
      <c r="E681" t="s">
        <v>200</v>
      </c>
      <c r="F681" t="s">
        <v>13</v>
      </c>
      <c r="G681" t="s">
        <v>14</v>
      </c>
      <c r="H681">
        <v>314</v>
      </c>
    </row>
    <row r="682" spans="1:8" x14ac:dyDescent="0.3">
      <c r="A682" t="s">
        <v>1424</v>
      </c>
      <c r="B682" t="s">
        <v>1076</v>
      </c>
      <c r="C682" t="s">
        <v>45</v>
      </c>
      <c r="D682" t="s">
        <v>29</v>
      </c>
      <c r="E682" t="s">
        <v>49</v>
      </c>
      <c r="F682" t="s">
        <v>13</v>
      </c>
      <c r="G682" t="s">
        <v>14</v>
      </c>
      <c r="H682">
        <v>255</v>
      </c>
    </row>
    <row r="683" spans="1:8" x14ac:dyDescent="0.3">
      <c r="A683" t="s">
        <v>1425</v>
      </c>
      <c r="B683" t="s">
        <v>1426</v>
      </c>
      <c r="C683" t="s">
        <v>1019</v>
      </c>
      <c r="D683" t="s">
        <v>53</v>
      </c>
      <c r="E683" t="s">
        <v>76</v>
      </c>
      <c r="F683" t="s">
        <v>158</v>
      </c>
      <c r="G683" t="s">
        <v>14</v>
      </c>
      <c r="H683">
        <v>499.7</v>
      </c>
    </row>
    <row r="684" spans="1:8" x14ac:dyDescent="0.3">
      <c r="A684" t="s">
        <v>1427</v>
      </c>
      <c r="B684" t="s">
        <v>1428</v>
      </c>
      <c r="C684" t="s">
        <v>681</v>
      </c>
      <c r="D684" t="s">
        <v>29</v>
      </c>
      <c r="E684" t="s">
        <v>30</v>
      </c>
      <c r="F684" t="s">
        <v>54</v>
      </c>
      <c r="G684" t="s">
        <v>25</v>
      </c>
      <c r="H684">
        <v>374</v>
      </c>
    </row>
    <row r="685" spans="1:8" x14ac:dyDescent="0.3">
      <c r="A685" t="s">
        <v>1429</v>
      </c>
      <c r="B685" t="s">
        <v>1430</v>
      </c>
      <c r="C685" t="s">
        <v>1431</v>
      </c>
      <c r="D685" t="s">
        <v>29</v>
      </c>
      <c r="E685" t="s">
        <v>200</v>
      </c>
      <c r="F685" t="s">
        <v>24</v>
      </c>
      <c r="G685" t="s">
        <v>65</v>
      </c>
      <c r="H685">
        <v>106.2</v>
      </c>
    </row>
    <row r="686" spans="1:8" x14ac:dyDescent="0.3">
      <c r="A686" t="s">
        <v>1432</v>
      </c>
      <c r="B686" t="s">
        <v>1433</v>
      </c>
      <c r="C686" t="s">
        <v>79</v>
      </c>
      <c r="D686" t="s">
        <v>35</v>
      </c>
      <c r="E686" t="s">
        <v>140</v>
      </c>
      <c r="F686" t="s">
        <v>54</v>
      </c>
      <c r="G686" t="s">
        <v>25</v>
      </c>
      <c r="H686">
        <v>567.79999999999995</v>
      </c>
    </row>
    <row r="687" spans="1:8" x14ac:dyDescent="0.3">
      <c r="A687" t="s">
        <v>1434</v>
      </c>
      <c r="B687" t="s">
        <v>1435</v>
      </c>
      <c r="C687" t="s">
        <v>930</v>
      </c>
      <c r="D687" t="s">
        <v>29</v>
      </c>
      <c r="E687" t="s">
        <v>49</v>
      </c>
      <c r="F687" t="s">
        <v>13</v>
      </c>
      <c r="G687" t="s">
        <v>65</v>
      </c>
      <c r="H687">
        <v>455</v>
      </c>
    </row>
    <row r="688" spans="1:8" x14ac:dyDescent="0.3">
      <c r="A688" t="s">
        <v>1436</v>
      </c>
      <c r="B688" t="s">
        <v>1437</v>
      </c>
      <c r="C688" t="s">
        <v>1438</v>
      </c>
      <c r="D688" t="s">
        <v>18</v>
      </c>
      <c r="E688" t="s">
        <v>12</v>
      </c>
      <c r="F688" t="s">
        <v>13</v>
      </c>
      <c r="G688" t="s">
        <v>14</v>
      </c>
      <c r="H688">
        <v>464</v>
      </c>
    </row>
    <row r="689" spans="1:8" x14ac:dyDescent="0.3">
      <c r="A689" t="s">
        <v>1439</v>
      </c>
      <c r="B689" t="s">
        <v>1440</v>
      </c>
      <c r="C689" t="s">
        <v>474</v>
      </c>
      <c r="D689" t="s">
        <v>45</v>
      </c>
      <c r="E689" t="s">
        <v>104</v>
      </c>
      <c r="F689" t="s">
        <v>13</v>
      </c>
      <c r="G689" t="s">
        <v>40</v>
      </c>
      <c r="H689">
        <v>100</v>
      </c>
    </row>
    <row r="690" spans="1:8" x14ac:dyDescent="0.3">
      <c r="A690" t="s">
        <v>1441</v>
      </c>
      <c r="B690" t="s">
        <v>1442</v>
      </c>
      <c r="C690" t="s">
        <v>1164</v>
      </c>
      <c r="D690" t="s">
        <v>35</v>
      </c>
      <c r="E690" t="s">
        <v>140</v>
      </c>
      <c r="F690" t="s">
        <v>64</v>
      </c>
      <c r="G690" t="s">
        <v>14</v>
      </c>
      <c r="H690">
        <v>204</v>
      </c>
    </row>
    <row r="691" spans="1:8" x14ac:dyDescent="0.3">
      <c r="A691" t="s">
        <v>1443</v>
      </c>
      <c r="B691" t="s">
        <v>1444</v>
      </c>
      <c r="C691" t="s">
        <v>134</v>
      </c>
      <c r="D691" t="s">
        <v>29</v>
      </c>
      <c r="E691" t="s">
        <v>30</v>
      </c>
      <c r="F691" t="s">
        <v>45</v>
      </c>
      <c r="G691" t="s">
        <v>65</v>
      </c>
      <c r="H691">
        <v>120</v>
      </c>
    </row>
    <row r="692" spans="1:8" x14ac:dyDescent="0.3">
      <c r="A692" t="s">
        <v>1445</v>
      </c>
      <c r="B692" t="s">
        <v>1446</v>
      </c>
      <c r="C692" t="s">
        <v>1447</v>
      </c>
      <c r="D692" t="s">
        <v>53</v>
      </c>
      <c r="E692" t="s">
        <v>104</v>
      </c>
      <c r="F692" t="s">
        <v>13</v>
      </c>
      <c r="G692" t="s">
        <v>40</v>
      </c>
      <c r="H692">
        <v>321</v>
      </c>
    </row>
    <row r="693" spans="1:8" x14ac:dyDescent="0.3">
      <c r="A693" t="s">
        <v>1448</v>
      </c>
      <c r="B693" t="s">
        <v>1449</v>
      </c>
      <c r="C693" t="s">
        <v>681</v>
      </c>
      <c r="D693" t="s">
        <v>29</v>
      </c>
      <c r="E693" t="s">
        <v>200</v>
      </c>
      <c r="F693" t="s">
        <v>13</v>
      </c>
      <c r="G693" t="s">
        <v>14</v>
      </c>
      <c r="H693">
        <v>346</v>
      </c>
    </row>
    <row r="694" spans="1:8" x14ac:dyDescent="0.3">
      <c r="A694" t="s">
        <v>1450</v>
      </c>
      <c r="B694" t="s">
        <v>1451</v>
      </c>
      <c r="C694" t="s">
        <v>1040</v>
      </c>
      <c r="D694" t="s">
        <v>45</v>
      </c>
      <c r="E694" t="s">
        <v>118</v>
      </c>
      <c r="F694" t="s">
        <v>13</v>
      </c>
      <c r="G694" t="s">
        <v>45</v>
      </c>
      <c r="H694">
        <v>65</v>
      </c>
    </row>
    <row r="695" spans="1:8" x14ac:dyDescent="0.3">
      <c r="A695" t="s">
        <v>1452</v>
      </c>
      <c r="B695" t="s">
        <v>1222</v>
      </c>
      <c r="C695" t="s">
        <v>63</v>
      </c>
      <c r="D695" t="s">
        <v>31</v>
      </c>
      <c r="E695" t="s">
        <v>104</v>
      </c>
      <c r="F695" t="s">
        <v>13</v>
      </c>
      <c r="G695" t="s">
        <v>25</v>
      </c>
      <c r="H695">
        <v>334</v>
      </c>
    </row>
    <row r="696" spans="1:8" x14ac:dyDescent="0.3">
      <c r="A696" t="s">
        <v>1453</v>
      </c>
      <c r="B696" t="s">
        <v>354</v>
      </c>
      <c r="C696" t="s">
        <v>313</v>
      </c>
      <c r="D696" t="s">
        <v>18</v>
      </c>
      <c r="E696" t="s">
        <v>87</v>
      </c>
      <c r="F696" t="s">
        <v>13</v>
      </c>
      <c r="G696" t="s">
        <v>65</v>
      </c>
      <c r="H696">
        <v>313</v>
      </c>
    </row>
    <row r="697" spans="1:8" x14ac:dyDescent="0.3">
      <c r="A697" t="s">
        <v>1454</v>
      </c>
      <c r="B697" t="s">
        <v>1281</v>
      </c>
      <c r="C697" t="s">
        <v>93</v>
      </c>
      <c r="D697" t="s">
        <v>53</v>
      </c>
      <c r="E697" t="s">
        <v>138</v>
      </c>
      <c r="F697" t="s">
        <v>13</v>
      </c>
      <c r="G697" t="s">
        <v>25</v>
      </c>
      <c r="H697">
        <v>70</v>
      </c>
    </row>
    <row r="698" spans="1:8" x14ac:dyDescent="0.3">
      <c r="A698" t="s">
        <v>1455</v>
      </c>
      <c r="B698" t="s">
        <v>1456</v>
      </c>
      <c r="C698" t="s">
        <v>376</v>
      </c>
      <c r="D698" t="s">
        <v>35</v>
      </c>
      <c r="E698" t="s">
        <v>36</v>
      </c>
      <c r="F698" t="s">
        <v>24</v>
      </c>
      <c r="G698" t="s">
        <v>25</v>
      </c>
      <c r="H698">
        <v>126</v>
      </c>
    </row>
    <row r="699" spans="1:8" x14ac:dyDescent="0.3">
      <c r="A699" t="s">
        <v>1457</v>
      </c>
      <c r="B699" t="s">
        <v>1458</v>
      </c>
      <c r="C699" t="s">
        <v>147</v>
      </c>
      <c r="D699" t="s">
        <v>157</v>
      </c>
      <c r="E699" t="s">
        <v>76</v>
      </c>
      <c r="F699" t="s">
        <v>13</v>
      </c>
      <c r="G699" t="s">
        <v>14</v>
      </c>
      <c r="H699">
        <v>611</v>
      </c>
    </row>
    <row r="700" spans="1:8" x14ac:dyDescent="0.3">
      <c r="A700" t="s">
        <v>1459</v>
      </c>
      <c r="B700" t="s">
        <v>1460</v>
      </c>
      <c r="C700" t="s">
        <v>396</v>
      </c>
      <c r="D700" t="s">
        <v>53</v>
      </c>
      <c r="E700" t="s">
        <v>31</v>
      </c>
      <c r="F700" t="s">
        <v>13</v>
      </c>
      <c r="G700" t="s">
        <v>40</v>
      </c>
      <c r="H700">
        <v>274</v>
      </c>
    </row>
    <row r="701" spans="1:8" x14ac:dyDescent="0.3">
      <c r="A701" t="s">
        <v>1461</v>
      </c>
      <c r="B701" t="s">
        <v>1109</v>
      </c>
      <c r="C701" t="s">
        <v>264</v>
      </c>
      <c r="D701" t="s">
        <v>53</v>
      </c>
      <c r="E701" t="s">
        <v>138</v>
      </c>
      <c r="F701" t="s">
        <v>45</v>
      </c>
      <c r="G701" t="s">
        <v>40</v>
      </c>
      <c r="H701">
        <v>160</v>
      </c>
    </row>
    <row r="702" spans="1:8" x14ac:dyDescent="0.3">
      <c r="A702" t="s">
        <v>1462</v>
      </c>
      <c r="B702" t="s">
        <v>917</v>
      </c>
      <c r="C702" t="s">
        <v>1172</v>
      </c>
      <c r="D702" t="s">
        <v>18</v>
      </c>
      <c r="E702" t="s">
        <v>494</v>
      </c>
      <c r="F702" t="s">
        <v>13</v>
      </c>
      <c r="G702" t="s">
        <v>40</v>
      </c>
      <c r="H702">
        <v>545</v>
      </c>
    </row>
    <row r="703" spans="1:8" x14ac:dyDescent="0.3">
      <c r="A703" t="s">
        <v>1463</v>
      </c>
      <c r="B703" t="s">
        <v>1464</v>
      </c>
      <c r="C703" t="s">
        <v>137</v>
      </c>
      <c r="D703" t="s">
        <v>35</v>
      </c>
      <c r="E703" t="s">
        <v>31</v>
      </c>
      <c r="F703" t="s">
        <v>13</v>
      </c>
      <c r="G703" t="s">
        <v>65</v>
      </c>
      <c r="H703">
        <v>644</v>
      </c>
    </row>
    <row r="704" spans="1:8" x14ac:dyDescent="0.3">
      <c r="A704" t="s">
        <v>1465</v>
      </c>
      <c r="B704" t="s">
        <v>1466</v>
      </c>
      <c r="C704" t="s">
        <v>57</v>
      </c>
      <c r="D704" t="s">
        <v>35</v>
      </c>
      <c r="E704" t="s">
        <v>340</v>
      </c>
      <c r="F704" t="s">
        <v>13</v>
      </c>
      <c r="G704" t="s">
        <v>25</v>
      </c>
      <c r="H704">
        <v>720</v>
      </c>
    </row>
    <row r="705" spans="1:8" x14ac:dyDescent="0.3">
      <c r="A705" t="s">
        <v>1467</v>
      </c>
      <c r="B705" t="s">
        <v>1114</v>
      </c>
      <c r="C705" t="s">
        <v>10</v>
      </c>
      <c r="D705" t="s">
        <v>29</v>
      </c>
      <c r="E705" t="s">
        <v>168</v>
      </c>
      <c r="F705" t="s">
        <v>13</v>
      </c>
      <c r="G705" t="s">
        <v>14</v>
      </c>
      <c r="H705">
        <v>525</v>
      </c>
    </row>
    <row r="706" spans="1:8" x14ac:dyDescent="0.3">
      <c r="A706" t="s">
        <v>1468</v>
      </c>
      <c r="B706" t="s">
        <v>1469</v>
      </c>
      <c r="C706" t="s">
        <v>1470</v>
      </c>
      <c r="D706" t="s">
        <v>35</v>
      </c>
      <c r="E706" t="s">
        <v>44</v>
      </c>
      <c r="F706" t="s">
        <v>158</v>
      </c>
      <c r="G706" t="s">
        <v>65</v>
      </c>
      <c r="H706">
        <v>512.04999999999995</v>
      </c>
    </row>
    <row r="707" spans="1:8" x14ac:dyDescent="0.3">
      <c r="A707" t="s">
        <v>1471</v>
      </c>
      <c r="B707" t="s">
        <v>1472</v>
      </c>
      <c r="C707" t="s">
        <v>421</v>
      </c>
      <c r="D707" t="s">
        <v>35</v>
      </c>
      <c r="E707" t="s">
        <v>36</v>
      </c>
      <c r="F707" t="s">
        <v>13</v>
      </c>
      <c r="G707" t="s">
        <v>25</v>
      </c>
      <c r="H707">
        <v>323</v>
      </c>
    </row>
    <row r="708" spans="1:8" x14ac:dyDescent="0.3">
      <c r="A708" t="s">
        <v>1473</v>
      </c>
      <c r="B708" t="s">
        <v>1469</v>
      </c>
      <c r="C708" t="s">
        <v>770</v>
      </c>
      <c r="D708" t="s">
        <v>29</v>
      </c>
      <c r="E708" t="s">
        <v>168</v>
      </c>
      <c r="F708" t="s">
        <v>13</v>
      </c>
      <c r="G708" t="s">
        <v>65</v>
      </c>
      <c r="H708">
        <v>480</v>
      </c>
    </row>
    <row r="709" spans="1:8" x14ac:dyDescent="0.3">
      <c r="A709" t="s">
        <v>1474</v>
      </c>
      <c r="B709" t="s">
        <v>1475</v>
      </c>
      <c r="C709" t="s">
        <v>833</v>
      </c>
      <c r="D709" t="s">
        <v>53</v>
      </c>
      <c r="E709" t="s">
        <v>76</v>
      </c>
      <c r="F709" t="s">
        <v>13</v>
      </c>
      <c r="G709" t="s">
        <v>25</v>
      </c>
      <c r="H709">
        <v>240</v>
      </c>
    </row>
    <row r="710" spans="1:8" x14ac:dyDescent="0.3">
      <c r="A710" t="s">
        <v>1476</v>
      </c>
      <c r="B710" t="s">
        <v>1477</v>
      </c>
      <c r="C710" t="s">
        <v>216</v>
      </c>
      <c r="D710" t="s">
        <v>35</v>
      </c>
      <c r="E710" t="s">
        <v>140</v>
      </c>
      <c r="F710" t="s">
        <v>13</v>
      </c>
      <c r="G710" t="s">
        <v>14</v>
      </c>
      <c r="H710" t="s">
        <v>45</v>
      </c>
    </row>
    <row r="711" spans="1:8" x14ac:dyDescent="0.3">
      <c r="A711" t="s">
        <v>1478</v>
      </c>
      <c r="B711" t="s">
        <v>1479</v>
      </c>
      <c r="C711" t="s">
        <v>523</v>
      </c>
      <c r="D711" t="s">
        <v>35</v>
      </c>
      <c r="E711" t="s">
        <v>36</v>
      </c>
      <c r="F711" t="s">
        <v>13</v>
      </c>
      <c r="G711" t="s">
        <v>25</v>
      </c>
      <c r="H711">
        <v>443</v>
      </c>
    </row>
    <row r="712" spans="1:8" x14ac:dyDescent="0.3">
      <c r="A712" t="s">
        <v>1480</v>
      </c>
      <c r="B712" t="s">
        <v>1481</v>
      </c>
      <c r="C712" t="s">
        <v>131</v>
      </c>
      <c r="D712" t="s">
        <v>18</v>
      </c>
      <c r="E712" t="s">
        <v>295</v>
      </c>
      <c r="F712" t="s">
        <v>24</v>
      </c>
      <c r="G712" t="s">
        <v>65</v>
      </c>
      <c r="H712">
        <v>383.4</v>
      </c>
    </row>
    <row r="713" spans="1:8" x14ac:dyDescent="0.3">
      <c r="A713" t="s">
        <v>1482</v>
      </c>
      <c r="B713" t="s">
        <v>1483</v>
      </c>
      <c r="C713" t="s">
        <v>45</v>
      </c>
      <c r="D713" t="s">
        <v>53</v>
      </c>
      <c r="E713" t="s">
        <v>118</v>
      </c>
      <c r="F713" t="s">
        <v>13</v>
      </c>
      <c r="G713" t="s">
        <v>65</v>
      </c>
      <c r="H713">
        <v>80</v>
      </c>
    </row>
    <row r="714" spans="1:8" x14ac:dyDescent="0.3">
      <c r="A714" t="s">
        <v>1484</v>
      </c>
      <c r="B714" t="s">
        <v>1485</v>
      </c>
      <c r="C714" t="s">
        <v>31</v>
      </c>
      <c r="D714" t="s">
        <v>18</v>
      </c>
      <c r="E714" t="s">
        <v>19</v>
      </c>
      <c r="F714" t="s">
        <v>13</v>
      </c>
      <c r="G714" t="s">
        <v>25</v>
      </c>
      <c r="H714">
        <v>356</v>
      </c>
    </row>
    <row r="715" spans="1:8" x14ac:dyDescent="0.3">
      <c r="A715" t="s">
        <v>1486</v>
      </c>
      <c r="B715" t="s">
        <v>1487</v>
      </c>
      <c r="C715" t="s">
        <v>213</v>
      </c>
      <c r="D715" t="s">
        <v>35</v>
      </c>
      <c r="E715" t="s">
        <v>36</v>
      </c>
      <c r="F715" t="s">
        <v>54</v>
      </c>
      <c r="G715" t="s">
        <v>14</v>
      </c>
      <c r="H715">
        <v>127.5</v>
      </c>
    </row>
    <row r="716" spans="1:8" x14ac:dyDescent="0.3">
      <c r="A716" t="s">
        <v>1488</v>
      </c>
      <c r="B716" t="s">
        <v>490</v>
      </c>
      <c r="C716" t="s">
        <v>534</v>
      </c>
      <c r="D716" t="s">
        <v>29</v>
      </c>
      <c r="E716" t="s">
        <v>123</v>
      </c>
      <c r="F716" t="s">
        <v>13</v>
      </c>
      <c r="G716" t="s">
        <v>14</v>
      </c>
      <c r="H716">
        <v>522</v>
      </c>
    </row>
    <row r="717" spans="1:8" x14ac:dyDescent="0.3">
      <c r="A717" t="s">
        <v>1489</v>
      </c>
      <c r="B717" t="s">
        <v>1490</v>
      </c>
      <c r="C717" t="s">
        <v>1040</v>
      </c>
      <c r="D717" t="s">
        <v>479</v>
      </c>
      <c r="E717" t="s">
        <v>49</v>
      </c>
      <c r="F717" t="s">
        <v>13</v>
      </c>
      <c r="G717" t="s">
        <v>25</v>
      </c>
      <c r="H717">
        <v>560</v>
      </c>
    </row>
    <row r="718" spans="1:8" x14ac:dyDescent="0.3">
      <c r="A718" t="s">
        <v>1491</v>
      </c>
      <c r="B718" t="s">
        <v>1492</v>
      </c>
      <c r="C718" t="s">
        <v>349</v>
      </c>
      <c r="D718" t="s">
        <v>35</v>
      </c>
      <c r="E718" t="s">
        <v>340</v>
      </c>
      <c r="F718" t="s">
        <v>158</v>
      </c>
      <c r="G718" t="s">
        <v>45</v>
      </c>
      <c r="H718">
        <v>850.25</v>
      </c>
    </row>
    <row r="719" spans="1:8" x14ac:dyDescent="0.3">
      <c r="A719" t="s">
        <v>1493</v>
      </c>
      <c r="B719" t="s">
        <v>1494</v>
      </c>
      <c r="C719" t="s">
        <v>177</v>
      </c>
      <c r="D719" t="s">
        <v>29</v>
      </c>
      <c r="E719" t="s">
        <v>200</v>
      </c>
      <c r="F719" t="s">
        <v>13</v>
      </c>
      <c r="G719" t="s">
        <v>25</v>
      </c>
      <c r="H719">
        <v>150</v>
      </c>
    </row>
    <row r="720" spans="1:8" x14ac:dyDescent="0.3">
      <c r="A720" t="s">
        <v>1495</v>
      </c>
      <c r="B720" t="s">
        <v>1496</v>
      </c>
      <c r="C720" t="s">
        <v>1043</v>
      </c>
      <c r="D720" t="s">
        <v>18</v>
      </c>
      <c r="E720" t="s">
        <v>23</v>
      </c>
      <c r="F720" t="s">
        <v>64</v>
      </c>
      <c r="G720" t="s">
        <v>65</v>
      </c>
      <c r="H720">
        <v>644</v>
      </c>
    </row>
    <row r="721" spans="1:8" x14ac:dyDescent="0.3">
      <c r="A721" t="s">
        <v>1497</v>
      </c>
      <c r="B721" t="s">
        <v>1498</v>
      </c>
      <c r="C721" t="s">
        <v>75</v>
      </c>
      <c r="D721" t="s">
        <v>29</v>
      </c>
      <c r="E721" t="s">
        <v>49</v>
      </c>
      <c r="F721" t="s">
        <v>45</v>
      </c>
      <c r="G721" t="s">
        <v>45</v>
      </c>
      <c r="H721">
        <v>499</v>
      </c>
    </row>
    <row r="722" spans="1:8" x14ac:dyDescent="0.3">
      <c r="A722" t="s">
        <v>1499</v>
      </c>
      <c r="B722" t="s">
        <v>1500</v>
      </c>
      <c r="C722" t="s">
        <v>851</v>
      </c>
      <c r="D722" t="s">
        <v>29</v>
      </c>
      <c r="E722" t="s">
        <v>168</v>
      </c>
      <c r="F722" t="s">
        <v>13</v>
      </c>
      <c r="G722" t="s">
        <v>65</v>
      </c>
      <c r="H722">
        <v>741</v>
      </c>
    </row>
    <row r="723" spans="1:8" x14ac:dyDescent="0.3">
      <c r="A723" t="s">
        <v>1501</v>
      </c>
      <c r="B723" t="s">
        <v>1502</v>
      </c>
      <c r="C723" t="s">
        <v>754</v>
      </c>
      <c r="D723" t="s">
        <v>35</v>
      </c>
      <c r="E723" t="s">
        <v>140</v>
      </c>
      <c r="F723" t="s">
        <v>13</v>
      </c>
      <c r="G723" t="s">
        <v>65</v>
      </c>
      <c r="H723">
        <v>434</v>
      </c>
    </row>
    <row r="724" spans="1:8" x14ac:dyDescent="0.3">
      <c r="A724" t="s">
        <v>1503</v>
      </c>
      <c r="B724" t="s">
        <v>545</v>
      </c>
      <c r="C724" t="s">
        <v>681</v>
      </c>
      <c r="D724" t="s">
        <v>29</v>
      </c>
      <c r="E724" t="s">
        <v>200</v>
      </c>
      <c r="F724" t="s">
        <v>13</v>
      </c>
      <c r="G724" t="s">
        <v>65</v>
      </c>
      <c r="H724">
        <v>360</v>
      </c>
    </row>
    <row r="725" spans="1:8" x14ac:dyDescent="0.3">
      <c r="A725" t="s">
        <v>1504</v>
      </c>
      <c r="B725" t="s">
        <v>429</v>
      </c>
      <c r="C725" t="s">
        <v>1263</v>
      </c>
      <c r="D725" t="s">
        <v>35</v>
      </c>
      <c r="E725" t="s">
        <v>36</v>
      </c>
      <c r="F725" t="s">
        <v>13</v>
      </c>
      <c r="G725" t="s">
        <v>25</v>
      </c>
      <c r="H725">
        <v>280</v>
      </c>
    </row>
    <row r="726" spans="1:8" x14ac:dyDescent="0.3">
      <c r="A726" t="s">
        <v>1505</v>
      </c>
      <c r="B726" t="s">
        <v>45</v>
      </c>
      <c r="C726" t="s">
        <v>901</v>
      </c>
      <c r="D726" t="s">
        <v>35</v>
      </c>
      <c r="E726" t="s">
        <v>36</v>
      </c>
      <c r="F726" t="s">
        <v>13</v>
      </c>
      <c r="G726" t="s">
        <v>25</v>
      </c>
      <c r="H726">
        <v>240</v>
      </c>
    </row>
    <row r="727" spans="1:8" x14ac:dyDescent="0.3">
      <c r="A727" t="s">
        <v>1506</v>
      </c>
      <c r="B727" t="s">
        <v>1446</v>
      </c>
      <c r="C727" t="s">
        <v>349</v>
      </c>
      <c r="D727" t="s">
        <v>35</v>
      </c>
      <c r="E727" t="s">
        <v>340</v>
      </c>
      <c r="F727" t="s">
        <v>13</v>
      </c>
      <c r="G727" t="s">
        <v>40</v>
      </c>
      <c r="H727">
        <v>186</v>
      </c>
    </row>
    <row r="728" spans="1:8" x14ac:dyDescent="0.3">
      <c r="A728" t="s">
        <v>1507</v>
      </c>
      <c r="B728" t="s">
        <v>1508</v>
      </c>
      <c r="C728" t="s">
        <v>196</v>
      </c>
      <c r="D728" t="s">
        <v>29</v>
      </c>
      <c r="E728" t="s">
        <v>49</v>
      </c>
      <c r="F728" t="s">
        <v>64</v>
      </c>
      <c r="G728" t="s">
        <v>507</v>
      </c>
      <c r="H728">
        <v>50</v>
      </c>
    </row>
    <row r="729" spans="1:8" x14ac:dyDescent="0.3">
      <c r="A729" t="s">
        <v>1509</v>
      </c>
      <c r="B729" t="s">
        <v>1510</v>
      </c>
      <c r="C729" t="s">
        <v>249</v>
      </c>
      <c r="D729" t="s">
        <v>29</v>
      </c>
      <c r="E729" t="s">
        <v>168</v>
      </c>
      <c r="F729" t="s">
        <v>24</v>
      </c>
      <c r="G729" t="s">
        <v>65</v>
      </c>
      <c r="H729">
        <v>432</v>
      </c>
    </row>
    <row r="730" spans="1:8" x14ac:dyDescent="0.3">
      <c r="A730" t="s">
        <v>1511</v>
      </c>
      <c r="B730" t="s">
        <v>399</v>
      </c>
      <c r="C730" t="s">
        <v>90</v>
      </c>
      <c r="D730" t="s">
        <v>18</v>
      </c>
      <c r="E730" t="s">
        <v>12</v>
      </c>
      <c r="F730" t="s">
        <v>13</v>
      </c>
      <c r="G730" t="s">
        <v>40</v>
      </c>
      <c r="H730">
        <v>285</v>
      </c>
    </row>
    <row r="731" spans="1:8" x14ac:dyDescent="0.3">
      <c r="A731" t="s">
        <v>1512</v>
      </c>
      <c r="B731" t="s">
        <v>45</v>
      </c>
      <c r="C731" t="s">
        <v>1513</v>
      </c>
      <c r="D731" t="s">
        <v>53</v>
      </c>
      <c r="E731" t="s">
        <v>118</v>
      </c>
      <c r="F731" t="s">
        <v>158</v>
      </c>
      <c r="G731" t="s">
        <v>65</v>
      </c>
      <c r="H731">
        <v>493.05</v>
      </c>
    </row>
    <row r="732" spans="1:8" x14ac:dyDescent="0.3">
      <c r="A732" t="s">
        <v>1512</v>
      </c>
      <c r="B732" t="s">
        <v>51</v>
      </c>
      <c r="C732" t="s">
        <v>396</v>
      </c>
      <c r="D732" t="s">
        <v>53</v>
      </c>
      <c r="E732" t="s">
        <v>118</v>
      </c>
      <c r="F732" t="s">
        <v>158</v>
      </c>
      <c r="G732" t="s">
        <v>65</v>
      </c>
      <c r="H732">
        <v>493.05</v>
      </c>
    </row>
    <row r="733" spans="1:8" x14ac:dyDescent="0.3">
      <c r="A733" t="s">
        <v>1514</v>
      </c>
      <c r="B733" t="s">
        <v>1515</v>
      </c>
      <c r="C733" t="s">
        <v>874</v>
      </c>
      <c r="D733" t="s">
        <v>18</v>
      </c>
      <c r="E733" t="s">
        <v>87</v>
      </c>
      <c r="F733" t="s">
        <v>31</v>
      </c>
      <c r="G733" t="s">
        <v>14</v>
      </c>
      <c r="H733">
        <v>120</v>
      </c>
    </row>
    <row r="734" spans="1:8" x14ac:dyDescent="0.3">
      <c r="A734" t="s">
        <v>1514</v>
      </c>
      <c r="B734" t="s">
        <v>1515</v>
      </c>
      <c r="C734" t="s">
        <v>874</v>
      </c>
      <c r="D734" t="s">
        <v>18</v>
      </c>
      <c r="E734" t="s">
        <v>87</v>
      </c>
      <c r="F734" t="s">
        <v>13</v>
      </c>
      <c r="G734" t="s">
        <v>14</v>
      </c>
      <c r="H734">
        <v>120</v>
      </c>
    </row>
    <row r="735" spans="1:8" x14ac:dyDescent="0.3">
      <c r="A735" t="s">
        <v>1516</v>
      </c>
      <c r="B735" t="s">
        <v>892</v>
      </c>
      <c r="C735" t="s">
        <v>872</v>
      </c>
      <c r="D735" t="s">
        <v>157</v>
      </c>
      <c r="E735" t="s">
        <v>118</v>
      </c>
      <c r="F735" t="s">
        <v>13</v>
      </c>
      <c r="G735" t="s">
        <v>14</v>
      </c>
      <c r="H735">
        <v>110</v>
      </c>
    </row>
    <row r="736" spans="1:8" x14ac:dyDescent="0.3">
      <c r="A736" t="s">
        <v>1517</v>
      </c>
      <c r="B736" t="s">
        <v>1518</v>
      </c>
      <c r="C736" t="s">
        <v>227</v>
      </c>
      <c r="D736" t="s">
        <v>35</v>
      </c>
      <c r="E736" t="s">
        <v>44</v>
      </c>
      <c r="F736" t="s">
        <v>64</v>
      </c>
      <c r="G736" t="s">
        <v>14</v>
      </c>
      <c r="H736">
        <v>310</v>
      </c>
    </row>
    <row r="737" spans="1:8" x14ac:dyDescent="0.3">
      <c r="A737" t="s">
        <v>1519</v>
      </c>
      <c r="B737" t="s">
        <v>1520</v>
      </c>
      <c r="C737" t="s">
        <v>174</v>
      </c>
      <c r="D737" t="s">
        <v>18</v>
      </c>
      <c r="E737" t="s">
        <v>23</v>
      </c>
      <c r="F737" t="s">
        <v>54</v>
      </c>
      <c r="G737" t="s">
        <v>40</v>
      </c>
      <c r="H737">
        <v>398.65</v>
      </c>
    </row>
    <row r="738" spans="1:8" x14ac:dyDescent="0.3">
      <c r="A738" t="s">
        <v>1521</v>
      </c>
      <c r="B738" t="s">
        <v>1522</v>
      </c>
      <c r="C738" t="s">
        <v>282</v>
      </c>
      <c r="D738" t="s">
        <v>29</v>
      </c>
      <c r="E738" t="s">
        <v>49</v>
      </c>
      <c r="F738" t="s">
        <v>13</v>
      </c>
      <c r="G738" t="s">
        <v>119</v>
      </c>
      <c r="H738">
        <v>835</v>
      </c>
    </row>
    <row r="739" spans="1:8" x14ac:dyDescent="0.3">
      <c r="A739" t="s">
        <v>1523</v>
      </c>
      <c r="B739" t="s">
        <v>1524</v>
      </c>
      <c r="C739" t="s">
        <v>28</v>
      </c>
      <c r="D739" t="s">
        <v>29</v>
      </c>
      <c r="E739" t="s">
        <v>123</v>
      </c>
      <c r="F739" t="s">
        <v>13</v>
      </c>
      <c r="G739" t="s">
        <v>40</v>
      </c>
      <c r="H739">
        <v>351</v>
      </c>
    </row>
    <row r="740" spans="1:8" x14ac:dyDescent="0.3">
      <c r="A740" t="s">
        <v>1525</v>
      </c>
      <c r="B740" t="s">
        <v>1526</v>
      </c>
      <c r="C740" t="s">
        <v>1527</v>
      </c>
      <c r="D740" t="s">
        <v>35</v>
      </c>
      <c r="E740" t="s">
        <v>1528</v>
      </c>
      <c r="F740" t="s">
        <v>13</v>
      </c>
      <c r="G740" t="s">
        <v>40</v>
      </c>
      <c r="H740">
        <v>630</v>
      </c>
    </row>
    <row r="741" spans="1:8" x14ac:dyDescent="0.3">
      <c r="A741" t="s">
        <v>1529</v>
      </c>
      <c r="B741" t="s">
        <v>1530</v>
      </c>
      <c r="C741" t="s">
        <v>477</v>
      </c>
      <c r="D741" t="s">
        <v>35</v>
      </c>
      <c r="E741" t="s">
        <v>340</v>
      </c>
      <c r="F741" t="s">
        <v>64</v>
      </c>
      <c r="G741" t="s">
        <v>65</v>
      </c>
      <c r="H741">
        <v>420</v>
      </c>
    </row>
    <row r="742" spans="1:8" x14ac:dyDescent="0.3">
      <c r="A742" t="s">
        <v>31</v>
      </c>
      <c r="B742" t="s">
        <v>1531</v>
      </c>
      <c r="C742" t="s">
        <v>213</v>
      </c>
      <c r="D742" t="s">
        <v>35</v>
      </c>
      <c r="E742" t="s">
        <v>72</v>
      </c>
      <c r="F742" t="s">
        <v>13</v>
      </c>
      <c r="G742" t="s">
        <v>40</v>
      </c>
      <c r="H742">
        <v>490</v>
      </c>
    </row>
    <row r="743" spans="1:8" x14ac:dyDescent="0.3">
      <c r="A743" t="s">
        <v>1532</v>
      </c>
      <c r="B743" t="s">
        <v>1533</v>
      </c>
      <c r="C743" t="s">
        <v>68</v>
      </c>
      <c r="D743" t="s">
        <v>35</v>
      </c>
      <c r="E743" t="s">
        <v>72</v>
      </c>
      <c r="F743" t="s">
        <v>54</v>
      </c>
      <c r="G743" t="s">
        <v>65</v>
      </c>
      <c r="H743">
        <v>161.5</v>
      </c>
    </row>
    <row r="744" spans="1:8" x14ac:dyDescent="0.3">
      <c r="A744" t="s">
        <v>31</v>
      </c>
      <c r="B744" t="s">
        <v>1534</v>
      </c>
      <c r="C744" t="s">
        <v>1535</v>
      </c>
      <c r="D744" t="s">
        <v>53</v>
      </c>
      <c r="E744" t="s">
        <v>464</v>
      </c>
      <c r="F744" t="s">
        <v>13</v>
      </c>
      <c r="G744" t="s">
        <v>40</v>
      </c>
      <c r="H744">
        <v>230</v>
      </c>
    </row>
    <row r="745" spans="1:8" x14ac:dyDescent="0.3">
      <c r="A745" t="s">
        <v>1536</v>
      </c>
      <c r="B745" t="s">
        <v>1537</v>
      </c>
      <c r="C745" t="s">
        <v>79</v>
      </c>
      <c r="D745" t="s">
        <v>35</v>
      </c>
      <c r="E745" t="s">
        <v>44</v>
      </c>
      <c r="F745" t="s">
        <v>24</v>
      </c>
      <c r="G745" t="s">
        <v>14</v>
      </c>
      <c r="H745">
        <v>445.5</v>
      </c>
    </row>
    <row r="746" spans="1:8" x14ac:dyDescent="0.3">
      <c r="A746" t="s">
        <v>1538</v>
      </c>
      <c r="B746" t="s">
        <v>1377</v>
      </c>
      <c r="C746" t="s">
        <v>953</v>
      </c>
      <c r="D746" t="s">
        <v>29</v>
      </c>
      <c r="E746" t="s">
        <v>168</v>
      </c>
      <c r="F746" t="s">
        <v>158</v>
      </c>
      <c r="G746" t="s">
        <v>25</v>
      </c>
      <c r="H746">
        <v>66.5</v>
      </c>
    </row>
    <row r="747" spans="1:8" x14ac:dyDescent="0.3">
      <c r="A747" t="s">
        <v>1539</v>
      </c>
      <c r="B747" t="s">
        <v>1540</v>
      </c>
      <c r="C747" t="s">
        <v>644</v>
      </c>
      <c r="D747" t="s">
        <v>35</v>
      </c>
      <c r="E747" t="s">
        <v>340</v>
      </c>
      <c r="F747" t="s">
        <v>13</v>
      </c>
      <c r="G747" t="s">
        <v>40</v>
      </c>
      <c r="H747">
        <v>340</v>
      </c>
    </row>
    <row r="748" spans="1:8" x14ac:dyDescent="0.3">
      <c r="A748" t="s">
        <v>1541</v>
      </c>
      <c r="B748" t="s">
        <v>725</v>
      </c>
      <c r="C748" t="s">
        <v>1040</v>
      </c>
      <c r="D748" t="s">
        <v>35</v>
      </c>
      <c r="E748" t="s">
        <v>140</v>
      </c>
      <c r="F748" t="s">
        <v>13</v>
      </c>
      <c r="G748" t="s">
        <v>65</v>
      </c>
      <c r="H748">
        <v>495</v>
      </c>
    </row>
    <row r="749" spans="1:8" x14ac:dyDescent="0.3">
      <c r="A749" t="s">
        <v>1542</v>
      </c>
      <c r="B749" t="s">
        <v>1543</v>
      </c>
      <c r="C749" t="s">
        <v>292</v>
      </c>
      <c r="D749" t="s">
        <v>18</v>
      </c>
      <c r="E749" t="s">
        <v>19</v>
      </c>
      <c r="F749" t="s">
        <v>13</v>
      </c>
      <c r="G749" t="s">
        <v>65</v>
      </c>
      <c r="H749">
        <v>239</v>
      </c>
    </row>
    <row r="750" spans="1:8" x14ac:dyDescent="0.3">
      <c r="A750" t="s">
        <v>1544</v>
      </c>
      <c r="B750" t="s">
        <v>1545</v>
      </c>
      <c r="C750" t="s">
        <v>343</v>
      </c>
      <c r="D750" t="s">
        <v>53</v>
      </c>
      <c r="E750" t="s">
        <v>83</v>
      </c>
      <c r="F750" t="s">
        <v>13</v>
      </c>
      <c r="G750" t="s">
        <v>65</v>
      </c>
      <c r="H750">
        <v>630</v>
      </c>
    </row>
    <row r="751" spans="1:8" x14ac:dyDescent="0.3">
      <c r="A751" t="s">
        <v>1546</v>
      </c>
      <c r="B751" t="s">
        <v>1547</v>
      </c>
      <c r="C751" t="s">
        <v>454</v>
      </c>
      <c r="D751" t="s">
        <v>29</v>
      </c>
      <c r="E751" t="s">
        <v>30</v>
      </c>
      <c r="F751" t="s">
        <v>13</v>
      </c>
      <c r="G751" t="s">
        <v>65</v>
      </c>
      <c r="H751" t="s">
        <v>45</v>
      </c>
    </row>
    <row r="752" spans="1:8" x14ac:dyDescent="0.3">
      <c r="A752" t="s">
        <v>1548</v>
      </c>
      <c r="B752" t="s">
        <v>1549</v>
      </c>
      <c r="C752" t="s">
        <v>825</v>
      </c>
      <c r="D752" t="s">
        <v>31</v>
      </c>
      <c r="E752" t="s">
        <v>23</v>
      </c>
      <c r="F752" t="s">
        <v>13</v>
      </c>
      <c r="G752" t="s">
        <v>40</v>
      </c>
      <c r="H752">
        <v>310</v>
      </c>
    </row>
    <row r="753" spans="1:8" x14ac:dyDescent="0.3">
      <c r="A753" t="s">
        <v>1550</v>
      </c>
      <c r="B753" t="s">
        <v>1163</v>
      </c>
      <c r="C753" t="s">
        <v>1242</v>
      </c>
      <c r="D753" t="s">
        <v>18</v>
      </c>
      <c r="E753" t="s">
        <v>23</v>
      </c>
      <c r="F753" t="s">
        <v>13</v>
      </c>
      <c r="G753" t="s">
        <v>65</v>
      </c>
      <c r="H753">
        <v>381</v>
      </c>
    </row>
    <row r="754" spans="1:8" x14ac:dyDescent="0.3">
      <c r="A754" t="s">
        <v>1551</v>
      </c>
      <c r="B754" t="s">
        <v>1552</v>
      </c>
      <c r="C754" t="s">
        <v>126</v>
      </c>
      <c r="D754" t="s">
        <v>29</v>
      </c>
      <c r="E754" t="s">
        <v>168</v>
      </c>
      <c r="F754" t="s">
        <v>13</v>
      </c>
      <c r="G754" t="s">
        <v>14</v>
      </c>
      <c r="H754">
        <v>285</v>
      </c>
    </row>
    <row r="755" spans="1:8" x14ac:dyDescent="0.3">
      <c r="A755" t="s">
        <v>1553</v>
      </c>
      <c r="B755" t="s">
        <v>1554</v>
      </c>
      <c r="C755" t="s">
        <v>22</v>
      </c>
      <c r="D755" t="s">
        <v>35</v>
      </c>
      <c r="E755" t="s">
        <v>654</v>
      </c>
      <c r="F755" t="s">
        <v>13</v>
      </c>
      <c r="G755" t="s">
        <v>65</v>
      </c>
      <c r="H755">
        <v>493</v>
      </c>
    </row>
    <row r="756" spans="1:8" x14ac:dyDescent="0.3">
      <c r="A756" t="s">
        <v>1555</v>
      </c>
      <c r="B756" t="s">
        <v>490</v>
      </c>
      <c r="C756" t="s">
        <v>233</v>
      </c>
      <c r="D756" t="s">
        <v>18</v>
      </c>
      <c r="E756" t="s">
        <v>87</v>
      </c>
      <c r="F756" t="s">
        <v>13</v>
      </c>
      <c r="G756" t="s">
        <v>25</v>
      </c>
      <c r="H756">
        <v>410</v>
      </c>
    </row>
    <row r="757" spans="1:8" x14ac:dyDescent="0.3">
      <c r="A757" t="s">
        <v>45</v>
      </c>
      <c r="B757" t="s">
        <v>1056</v>
      </c>
      <c r="C757" t="s">
        <v>328</v>
      </c>
      <c r="D757" t="s">
        <v>29</v>
      </c>
      <c r="E757" t="s">
        <v>1556</v>
      </c>
      <c r="F757" t="s">
        <v>13</v>
      </c>
      <c r="G757" t="s">
        <v>40</v>
      </c>
      <c r="H757">
        <v>299</v>
      </c>
    </row>
    <row r="758" spans="1:8" x14ac:dyDescent="0.3">
      <c r="A758" t="s">
        <v>1557</v>
      </c>
      <c r="B758" t="s">
        <v>1558</v>
      </c>
      <c r="C758" t="s">
        <v>45</v>
      </c>
      <c r="D758" t="s">
        <v>53</v>
      </c>
      <c r="E758" t="s">
        <v>138</v>
      </c>
      <c r="F758" t="s">
        <v>13</v>
      </c>
      <c r="G758" t="s">
        <v>40</v>
      </c>
      <c r="H758">
        <v>616</v>
      </c>
    </row>
    <row r="759" spans="1:8" x14ac:dyDescent="0.3">
      <c r="A759" t="s">
        <v>1559</v>
      </c>
      <c r="B759" t="s">
        <v>1560</v>
      </c>
      <c r="C759" t="s">
        <v>276</v>
      </c>
      <c r="D759" t="s">
        <v>35</v>
      </c>
      <c r="E759" t="s">
        <v>72</v>
      </c>
      <c r="F759" t="s">
        <v>13</v>
      </c>
      <c r="G759" t="s">
        <v>40</v>
      </c>
      <c r="H759">
        <v>360</v>
      </c>
    </row>
    <row r="760" spans="1:8" x14ac:dyDescent="0.3">
      <c r="A760" t="s">
        <v>1561</v>
      </c>
      <c r="B760" t="s">
        <v>500</v>
      </c>
      <c r="C760" t="s">
        <v>230</v>
      </c>
      <c r="D760" t="s">
        <v>18</v>
      </c>
      <c r="E760" t="s">
        <v>87</v>
      </c>
      <c r="F760" t="s">
        <v>24</v>
      </c>
      <c r="G760" t="s">
        <v>14</v>
      </c>
      <c r="H760">
        <v>207</v>
      </c>
    </row>
    <row r="761" spans="1:8" x14ac:dyDescent="0.3">
      <c r="A761" t="s">
        <v>1562</v>
      </c>
      <c r="B761" t="s">
        <v>1204</v>
      </c>
      <c r="C761" t="s">
        <v>517</v>
      </c>
      <c r="D761" t="s">
        <v>29</v>
      </c>
      <c r="E761" t="s">
        <v>200</v>
      </c>
      <c r="F761" t="s">
        <v>13</v>
      </c>
      <c r="G761" t="s">
        <v>14</v>
      </c>
      <c r="H761">
        <v>551</v>
      </c>
    </row>
    <row r="762" spans="1:8" x14ac:dyDescent="0.3">
      <c r="A762" t="s">
        <v>1563</v>
      </c>
      <c r="B762" t="s">
        <v>1089</v>
      </c>
      <c r="C762" t="s">
        <v>1564</v>
      </c>
      <c r="D762" t="s">
        <v>35</v>
      </c>
      <c r="E762" t="s">
        <v>36</v>
      </c>
      <c r="F762" t="s">
        <v>24</v>
      </c>
      <c r="G762" t="s">
        <v>65</v>
      </c>
      <c r="H762" t="s">
        <v>45</v>
      </c>
    </row>
    <row r="763" spans="1:8" x14ac:dyDescent="0.3">
      <c r="A763" t="s">
        <v>1565</v>
      </c>
      <c r="B763" t="s">
        <v>1566</v>
      </c>
      <c r="C763" t="s">
        <v>227</v>
      </c>
      <c r="D763" t="s">
        <v>29</v>
      </c>
      <c r="E763" t="s">
        <v>168</v>
      </c>
      <c r="F763" t="s">
        <v>13</v>
      </c>
      <c r="G763" t="s">
        <v>14</v>
      </c>
      <c r="H763">
        <v>155</v>
      </c>
    </row>
    <row r="764" spans="1:8" x14ac:dyDescent="0.3">
      <c r="A764" t="s">
        <v>1567</v>
      </c>
      <c r="B764" t="s">
        <v>1568</v>
      </c>
      <c r="C764" t="s">
        <v>264</v>
      </c>
      <c r="D764" t="s">
        <v>18</v>
      </c>
      <c r="E764" t="s">
        <v>23</v>
      </c>
      <c r="F764" t="s">
        <v>13</v>
      </c>
      <c r="G764" t="s">
        <v>25</v>
      </c>
      <c r="H764">
        <v>70</v>
      </c>
    </row>
    <row r="765" spans="1:8" x14ac:dyDescent="0.3">
      <c r="A765" t="s">
        <v>1569</v>
      </c>
      <c r="B765" t="s">
        <v>1570</v>
      </c>
      <c r="C765" t="s">
        <v>671</v>
      </c>
      <c r="D765" t="s">
        <v>29</v>
      </c>
      <c r="E765" t="s">
        <v>49</v>
      </c>
      <c r="F765" t="s">
        <v>13</v>
      </c>
      <c r="G765" t="s">
        <v>25</v>
      </c>
      <c r="H765">
        <v>204</v>
      </c>
    </row>
    <row r="766" spans="1:8" x14ac:dyDescent="0.3">
      <c r="A766" t="s">
        <v>1571</v>
      </c>
      <c r="B766" t="s">
        <v>1572</v>
      </c>
      <c r="C766" t="s">
        <v>57</v>
      </c>
      <c r="D766" t="s">
        <v>18</v>
      </c>
      <c r="E766" t="s">
        <v>45</v>
      </c>
      <c r="F766" t="s">
        <v>54</v>
      </c>
      <c r="G766" t="s">
        <v>14</v>
      </c>
      <c r="H766">
        <v>242.25</v>
      </c>
    </row>
    <row r="767" spans="1:8" x14ac:dyDescent="0.3">
      <c r="A767" t="s">
        <v>1573</v>
      </c>
      <c r="B767" t="s">
        <v>1574</v>
      </c>
      <c r="C767" t="s">
        <v>282</v>
      </c>
      <c r="D767" t="s">
        <v>35</v>
      </c>
      <c r="E767" t="s">
        <v>72</v>
      </c>
      <c r="F767" t="s">
        <v>13</v>
      </c>
      <c r="G767" t="s">
        <v>268</v>
      </c>
      <c r="H767" t="s">
        <v>45</v>
      </c>
    </row>
    <row r="768" spans="1:8" x14ac:dyDescent="0.3">
      <c r="A768" t="s">
        <v>1575</v>
      </c>
      <c r="B768" t="s">
        <v>1576</v>
      </c>
      <c r="C768" t="s">
        <v>506</v>
      </c>
      <c r="D768" t="s">
        <v>18</v>
      </c>
      <c r="E768" t="s">
        <v>12</v>
      </c>
      <c r="F768" t="s">
        <v>13</v>
      </c>
      <c r="G768" t="s">
        <v>25</v>
      </c>
      <c r="H768">
        <v>490</v>
      </c>
    </row>
    <row r="769" spans="1:8" x14ac:dyDescent="0.3">
      <c r="A769" t="s">
        <v>1577</v>
      </c>
      <c r="B769" t="s">
        <v>1578</v>
      </c>
      <c r="C769" t="s">
        <v>45</v>
      </c>
      <c r="D769" t="s">
        <v>53</v>
      </c>
      <c r="E769" t="s">
        <v>138</v>
      </c>
      <c r="F769" t="s">
        <v>158</v>
      </c>
      <c r="G769" t="s">
        <v>40</v>
      </c>
      <c r="H769">
        <v>399.95</v>
      </c>
    </row>
    <row r="770" spans="1:8" x14ac:dyDescent="0.3">
      <c r="A770" t="s">
        <v>1579</v>
      </c>
      <c r="B770" t="s">
        <v>9</v>
      </c>
      <c r="C770" t="s">
        <v>22</v>
      </c>
      <c r="D770" t="s">
        <v>53</v>
      </c>
      <c r="E770" t="s">
        <v>83</v>
      </c>
      <c r="F770" t="s">
        <v>13</v>
      </c>
      <c r="G770" t="s">
        <v>25</v>
      </c>
      <c r="H770">
        <v>405</v>
      </c>
    </row>
    <row r="771" spans="1:8" x14ac:dyDescent="0.3">
      <c r="A771" t="s">
        <v>1580</v>
      </c>
      <c r="B771" t="s">
        <v>637</v>
      </c>
      <c r="C771" t="s">
        <v>1198</v>
      </c>
      <c r="D771" t="s">
        <v>11</v>
      </c>
      <c r="E771" t="s">
        <v>87</v>
      </c>
      <c r="F771" t="s">
        <v>158</v>
      </c>
      <c r="G771" t="s">
        <v>25</v>
      </c>
      <c r="H771">
        <v>247</v>
      </c>
    </row>
    <row r="772" spans="1:8" x14ac:dyDescent="0.3">
      <c r="A772" t="s">
        <v>1581</v>
      </c>
      <c r="B772" t="s">
        <v>1582</v>
      </c>
      <c r="C772" t="s">
        <v>213</v>
      </c>
      <c r="D772" t="s">
        <v>53</v>
      </c>
      <c r="E772" t="s">
        <v>118</v>
      </c>
      <c r="F772" t="s">
        <v>13</v>
      </c>
      <c r="G772" t="s">
        <v>268</v>
      </c>
      <c r="H772">
        <v>605</v>
      </c>
    </row>
    <row r="773" spans="1:8" x14ac:dyDescent="0.3">
      <c r="A773" t="s">
        <v>1583</v>
      </c>
      <c r="B773" t="s">
        <v>1584</v>
      </c>
      <c r="C773" t="s">
        <v>1585</v>
      </c>
      <c r="D773" t="s">
        <v>18</v>
      </c>
      <c r="E773" t="s">
        <v>12</v>
      </c>
      <c r="F773" t="s">
        <v>13</v>
      </c>
      <c r="G773" t="s">
        <v>65</v>
      </c>
      <c r="H773">
        <v>715</v>
      </c>
    </row>
    <row r="774" spans="1:8" x14ac:dyDescent="0.3">
      <c r="A774" t="s">
        <v>1586</v>
      </c>
      <c r="B774" t="s">
        <v>1587</v>
      </c>
      <c r="C774" t="s">
        <v>227</v>
      </c>
      <c r="D774" t="s">
        <v>246</v>
      </c>
      <c r="E774" t="s">
        <v>44</v>
      </c>
      <c r="F774" t="s">
        <v>13</v>
      </c>
      <c r="G774" t="s">
        <v>14</v>
      </c>
      <c r="H774">
        <v>685</v>
      </c>
    </row>
    <row r="775" spans="1:8" x14ac:dyDescent="0.3">
      <c r="A775" t="s">
        <v>1588</v>
      </c>
      <c r="B775" t="s">
        <v>619</v>
      </c>
      <c r="C775" t="s">
        <v>183</v>
      </c>
      <c r="D775" t="s">
        <v>35</v>
      </c>
      <c r="E775" t="s">
        <v>72</v>
      </c>
      <c r="F775" t="s">
        <v>54</v>
      </c>
      <c r="G775" t="s">
        <v>65</v>
      </c>
      <c r="H775">
        <v>153</v>
      </c>
    </row>
    <row r="776" spans="1:8" x14ac:dyDescent="0.3">
      <c r="A776" t="s">
        <v>1589</v>
      </c>
      <c r="B776" t="s">
        <v>1590</v>
      </c>
      <c r="C776" t="s">
        <v>258</v>
      </c>
      <c r="D776" t="s">
        <v>18</v>
      </c>
      <c r="E776" t="s">
        <v>295</v>
      </c>
      <c r="F776" t="s">
        <v>13</v>
      </c>
      <c r="G776" t="s">
        <v>65</v>
      </c>
      <c r="H776">
        <v>574</v>
      </c>
    </row>
    <row r="777" spans="1:8" x14ac:dyDescent="0.3">
      <c r="A777" t="s">
        <v>1591</v>
      </c>
      <c r="B777" t="s">
        <v>365</v>
      </c>
      <c r="C777" t="s">
        <v>267</v>
      </c>
      <c r="D777" t="s">
        <v>157</v>
      </c>
      <c r="E777" t="s">
        <v>104</v>
      </c>
      <c r="F777" t="s">
        <v>13</v>
      </c>
      <c r="G777" t="s">
        <v>65</v>
      </c>
      <c r="H777">
        <v>625</v>
      </c>
    </row>
    <row r="778" spans="1:8" x14ac:dyDescent="0.3">
      <c r="A778" t="s">
        <v>1592</v>
      </c>
      <c r="B778" t="s">
        <v>1593</v>
      </c>
      <c r="C778" t="s">
        <v>888</v>
      </c>
      <c r="D778" t="s">
        <v>35</v>
      </c>
      <c r="E778" t="s">
        <v>44</v>
      </c>
      <c r="F778" t="s">
        <v>13</v>
      </c>
      <c r="G778" t="s">
        <v>40</v>
      </c>
      <c r="H778">
        <v>268</v>
      </c>
    </row>
    <row r="779" spans="1:8" x14ac:dyDescent="0.3">
      <c r="A779" t="s">
        <v>1594</v>
      </c>
      <c r="B779" t="s">
        <v>1299</v>
      </c>
      <c r="C779" t="s">
        <v>319</v>
      </c>
      <c r="D779" t="s">
        <v>35</v>
      </c>
      <c r="E779" t="s">
        <v>72</v>
      </c>
      <c r="F779" t="s">
        <v>13</v>
      </c>
      <c r="G779" t="s">
        <v>65</v>
      </c>
      <c r="H779">
        <v>70</v>
      </c>
    </row>
    <row r="780" spans="1:8" x14ac:dyDescent="0.3">
      <c r="A780" t="s">
        <v>1595</v>
      </c>
      <c r="B780" t="s">
        <v>1076</v>
      </c>
      <c r="C780" t="s">
        <v>363</v>
      </c>
      <c r="D780" t="s">
        <v>53</v>
      </c>
      <c r="E780" t="s">
        <v>138</v>
      </c>
      <c r="F780" t="s">
        <v>13</v>
      </c>
      <c r="G780" t="s">
        <v>25</v>
      </c>
      <c r="H780">
        <v>507</v>
      </c>
    </row>
    <row r="781" spans="1:8" x14ac:dyDescent="0.3">
      <c r="A781" t="s">
        <v>1596</v>
      </c>
      <c r="B781" t="s">
        <v>1597</v>
      </c>
      <c r="C781" t="s">
        <v>414</v>
      </c>
      <c r="D781" t="s">
        <v>18</v>
      </c>
      <c r="E781" t="s">
        <v>19</v>
      </c>
      <c r="F781" t="s">
        <v>13</v>
      </c>
      <c r="G781" t="s">
        <v>507</v>
      </c>
      <c r="H781">
        <v>116</v>
      </c>
    </row>
    <row r="782" spans="1:8" x14ac:dyDescent="0.3">
      <c r="A782" t="s">
        <v>1598</v>
      </c>
      <c r="B782" t="s">
        <v>1599</v>
      </c>
      <c r="C782" t="s">
        <v>1040</v>
      </c>
      <c r="D782" t="s">
        <v>29</v>
      </c>
      <c r="E782" t="s">
        <v>1103</v>
      </c>
      <c r="F782" t="s">
        <v>13</v>
      </c>
      <c r="G782" t="s">
        <v>40</v>
      </c>
      <c r="H782">
        <v>505</v>
      </c>
    </row>
    <row r="783" spans="1:8" x14ac:dyDescent="0.3">
      <c r="A783" t="s">
        <v>1600</v>
      </c>
      <c r="B783" t="s">
        <v>1601</v>
      </c>
      <c r="C783" t="s">
        <v>663</v>
      </c>
      <c r="D783" t="s">
        <v>246</v>
      </c>
      <c r="E783" t="s">
        <v>140</v>
      </c>
      <c r="F783" t="s">
        <v>54</v>
      </c>
      <c r="G783" t="s">
        <v>25</v>
      </c>
      <c r="H783">
        <v>353.6</v>
      </c>
    </row>
    <row r="784" spans="1:8" x14ac:dyDescent="0.3">
      <c r="A784" t="s">
        <v>1602</v>
      </c>
      <c r="B784" t="s">
        <v>1603</v>
      </c>
      <c r="C784" t="s">
        <v>199</v>
      </c>
      <c r="D784" t="s">
        <v>53</v>
      </c>
      <c r="E784" t="s">
        <v>45</v>
      </c>
      <c r="F784" t="s">
        <v>13</v>
      </c>
      <c r="G784" t="s">
        <v>14</v>
      </c>
      <c r="H784">
        <v>174</v>
      </c>
    </row>
    <row r="785" spans="1:8" x14ac:dyDescent="0.3">
      <c r="A785" t="s">
        <v>1604</v>
      </c>
      <c r="B785" t="s">
        <v>549</v>
      </c>
      <c r="C785" t="s">
        <v>503</v>
      </c>
      <c r="D785" t="s">
        <v>35</v>
      </c>
      <c r="E785" t="s">
        <v>44</v>
      </c>
      <c r="F785" t="s">
        <v>13</v>
      </c>
      <c r="G785" t="s">
        <v>14</v>
      </c>
      <c r="H785">
        <v>276</v>
      </c>
    </row>
    <row r="786" spans="1:8" x14ac:dyDescent="0.3">
      <c r="A786" t="s">
        <v>1605</v>
      </c>
      <c r="B786" t="s">
        <v>1606</v>
      </c>
      <c r="C786" t="s">
        <v>292</v>
      </c>
      <c r="D786" t="s">
        <v>29</v>
      </c>
      <c r="E786" t="s">
        <v>30</v>
      </c>
      <c r="F786" t="s">
        <v>54</v>
      </c>
      <c r="G786" t="s">
        <v>65</v>
      </c>
      <c r="H786">
        <v>313.64999999999998</v>
      </c>
    </row>
    <row r="787" spans="1:8" x14ac:dyDescent="0.3">
      <c r="A787" t="s">
        <v>1607</v>
      </c>
      <c r="B787" t="s">
        <v>1608</v>
      </c>
      <c r="C787" t="s">
        <v>82</v>
      </c>
      <c r="D787" t="s">
        <v>53</v>
      </c>
      <c r="E787" t="s">
        <v>138</v>
      </c>
      <c r="F787" t="s">
        <v>45</v>
      </c>
      <c r="G787" t="s">
        <v>25</v>
      </c>
      <c r="H787">
        <v>281.35000000000002</v>
      </c>
    </row>
    <row r="788" spans="1:8" x14ac:dyDescent="0.3">
      <c r="A788" t="s">
        <v>1609</v>
      </c>
      <c r="B788" t="s">
        <v>1610</v>
      </c>
      <c r="C788" t="s">
        <v>308</v>
      </c>
      <c r="D788" t="s">
        <v>53</v>
      </c>
      <c r="E788" t="s">
        <v>118</v>
      </c>
      <c r="F788" t="s">
        <v>13</v>
      </c>
      <c r="G788" t="s">
        <v>65</v>
      </c>
      <c r="H788">
        <v>116</v>
      </c>
    </row>
    <row r="789" spans="1:8" x14ac:dyDescent="0.3">
      <c r="A789" t="s">
        <v>1611</v>
      </c>
      <c r="B789" t="s">
        <v>1612</v>
      </c>
      <c r="C789" t="s">
        <v>968</v>
      </c>
      <c r="D789" t="s">
        <v>53</v>
      </c>
      <c r="E789" t="s">
        <v>83</v>
      </c>
      <c r="F789" t="s">
        <v>13</v>
      </c>
      <c r="G789" t="s">
        <v>25</v>
      </c>
      <c r="H789" t="s">
        <v>45</v>
      </c>
    </row>
    <row r="790" spans="1:8" x14ac:dyDescent="0.3">
      <c r="A790" t="s">
        <v>1613</v>
      </c>
      <c r="B790" t="s">
        <v>1357</v>
      </c>
      <c r="C790" t="s">
        <v>267</v>
      </c>
      <c r="D790" t="s">
        <v>246</v>
      </c>
      <c r="E790" t="s">
        <v>140</v>
      </c>
      <c r="F790" t="s">
        <v>158</v>
      </c>
      <c r="G790" t="s">
        <v>14</v>
      </c>
      <c r="H790">
        <v>193.8</v>
      </c>
    </row>
    <row r="791" spans="1:8" x14ac:dyDescent="0.3">
      <c r="A791" t="s">
        <v>1614</v>
      </c>
      <c r="B791" t="s">
        <v>1615</v>
      </c>
      <c r="C791" t="s">
        <v>114</v>
      </c>
      <c r="D791" t="s">
        <v>35</v>
      </c>
      <c r="E791" t="s">
        <v>340</v>
      </c>
      <c r="F791" t="s">
        <v>13</v>
      </c>
      <c r="G791" t="s">
        <v>40</v>
      </c>
      <c r="H791">
        <v>334</v>
      </c>
    </row>
    <row r="792" spans="1:8" x14ac:dyDescent="0.3">
      <c r="A792" t="s">
        <v>1616</v>
      </c>
      <c r="B792" t="s">
        <v>1617</v>
      </c>
      <c r="C792" t="s">
        <v>328</v>
      </c>
      <c r="D792" t="s">
        <v>35</v>
      </c>
      <c r="E792" t="s">
        <v>36</v>
      </c>
      <c r="F792" t="s">
        <v>13</v>
      </c>
      <c r="G792" t="s">
        <v>14</v>
      </c>
      <c r="H792">
        <v>60</v>
      </c>
    </row>
    <row r="793" spans="1:8" x14ac:dyDescent="0.3">
      <c r="A793" t="s">
        <v>1618</v>
      </c>
      <c r="B793" t="s">
        <v>1619</v>
      </c>
      <c r="C793" t="s">
        <v>167</v>
      </c>
      <c r="D793" t="s">
        <v>18</v>
      </c>
      <c r="E793" t="s">
        <v>19</v>
      </c>
      <c r="F793" t="s">
        <v>13</v>
      </c>
      <c r="G793" t="s">
        <v>14</v>
      </c>
      <c r="H793">
        <v>370</v>
      </c>
    </row>
    <row r="794" spans="1:8" x14ac:dyDescent="0.3">
      <c r="A794" t="s">
        <v>1620</v>
      </c>
      <c r="B794" t="s">
        <v>1621</v>
      </c>
      <c r="C794" t="s">
        <v>975</v>
      </c>
      <c r="D794" t="s">
        <v>29</v>
      </c>
      <c r="E794" t="s">
        <v>49</v>
      </c>
      <c r="F794" t="s">
        <v>322</v>
      </c>
      <c r="G794" t="s">
        <v>14</v>
      </c>
      <c r="H794">
        <v>207</v>
      </c>
    </row>
    <row r="795" spans="1:8" x14ac:dyDescent="0.3">
      <c r="A795" t="s">
        <v>1622</v>
      </c>
      <c r="B795" t="s">
        <v>783</v>
      </c>
      <c r="C795" t="s">
        <v>743</v>
      </c>
      <c r="D795" t="s">
        <v>35</v>
      </c>
      <c r="E795" t="s">
        <v>340</v>
      </c>
      <c r="F795" t="s">
        <v>13</v>
      </c>
      <c r="G795" t="s">
        <v>65</v>
      </c>
      <c r="H795">
        <v>270</v>
      </c>
    </row>
    <row r="796" spans="1:8" x14ac:dyDescent="0.3">
      <c r="A796" t="s">
        <v>1623</v>
      </c>
      <c r="B796" t="s">
        <v>1624</v>
      </c>
      <c r="C796" t="s">
        <v>425</v>
      </c>
      <c r="D796" t="s">
        <v>29</v>
      </c>
      <c r="E796" t="s">
        <v>1556</v>
      </c>
      <c r="F796" t="s">
        <v>13</v>
      </c>
      <c r="G796" t="s">
        <v>25</v>
      </c>
      <c r="H796">
        <v>775</v>
      </c>
    </row>
    <row r="797" spans="1:8" x14ac:dyDescent="0.3">
      <c r="A797" t="s">
        <v>1625</v>
      </c>
      <c r="B797" t="s">
        <v>1626</v>
      </c>
      <c r="C797" t="s">
        <v>86</v>
      </c>
      <c r="D797" t="s">
        <v>53</v>
      </c>
      <c r="E797" t="s">
        <v>76</v>
      </c>
      <c r="F797" t="s">
        <v>13</v>
      </c>
      <c r="G797" t="s">
        <v>45</v>
      </c>
      <c r="H797">
        <v>800</v>
      </c>
    </row>
    <row r="798" spans="1:8" x14ac:dyDescent="0.3">
      <c r="A798" t="s">
        <v>1627</v>
      </c>
      <c r="B798" t="s">
        <v>884</v>
      </c>
      <c r="C798" t="s">
        <v>736</v>
      </c>
      <c r="D798" t="s">
        <v>53</v>
      </c>
      <c r="E798" t="s">
        <v>76</v>
      </c>
      <c r="F798" t="s">
        <v>13</v>
      </c>
      <c r="G798" t="s">
        <v>25</v>
      </c>
      <c r="H798">
        <v>330</v>
      </c>
    </row>
    <row r="799" spans="1:8" x14ac:dyDescent="0.3">
      <c r="A799" t="s">
        <v>1628</v>
      </c>
      <c r="B799" t="s">
        <v>1629</v>
      </c>
      <c r="C799" t="s">
        <v>1077</v>
      </c>
      <c r="D799" t="s">
        <v>35</v>
      </c>
      <c r="E799" t="s">
        <v>44</v>
      </c>
      <c r="F799" t="s">
        <v>54</v>
      </c>
      <c r="G799" t="s">
        <v>40</v>
      </c>
      <c r="H799">
        <v>102</v>
      </c>
    </row>
    <row r="800" spans="1:8" x14ac:dyDescent="0.3">
      <c r="A800" t="s">
        <v>1628</v>
      </c>
      <c r="B800" t="s">
        <v>1629</v>
      </c>
      <c r="C800" t="s">
        <v>1077</v>
      </c>
      <c r="D800" t="s">
        <v>35</v>
      </c>
      <c r="E800" t="s">
        <v>44</v>
      </c>
      <c r="F800" t="s">
        <v>54</v>
      </c>
      <c r="G800" t="s">
        <v>40</v>
      </c>
      <c r="H800">
        <v>102</v>
      </c>
    </row>
    <row r="801" spans="1:8" x14ac:dyDescent="0.3">
      <c r="A801" t="s">
        <v>1630</v>
      </c>
      <c r="B801" t="s">
        <v>1631</v>
      </c>
      <c r="C801" t="s">
        <v>242</v>
      </c>
      <c r="D801" t="s">
        <v>29</v>
      </c>
      <c r="E801" t="s">
        <v>123</v>
      </c>
      <c r="F801" t="s">
        <v>13</v>
      </c>
      <c r="G801" t="s">
        <v>14</v>
      </c>
      <c r="H801">
        <v>118</v>
      </c>
    </row>
    <row r="802" spans="1:8" x14ac:dyDescent="0.3">
      <c r="A802" t="s">
        <v>1632</v>
      </c>
      <c r="B802" t="s">
        <v>1633</v>
      </c>
      <c r="C802" t="s">
        <v>770</v>
      </c>
      <c r="D802" t="s">
        <v>53</v>
      </c>
      <c r="E802" t="s">
        <v>76</v>
      </c>
      <c r="F802" t="s">
        <v>13</v>
      </c>
      <c r="G802" t="s">
        <v>25</v>
      </c>
      <c r="H802">
        <v>444</v>
      </c>
    </row>
    <row r="803" spans="1:8" x14ac:dyDescent="0.3">
      <c r="A803" t="s">
        <v>1634</v>
      </c>
      <c r="B803" t="s">
        <v>1635</v>
      </c>
      <c r="C803" t="s">
        <v>497</v>
      </c>
      <c r="D803" t="s">
        <v>18</v>
      </c>
      <c r="E803" t="s">
        <v>295</v>
      </c>
      <c r="F803" t="s">
        <v>158</v>
      </c>
      <c r="G803" t="s">
        <v>25</v>
      </c>
      <c r="H803">
        <v>109.25</v>
      </c>
    </row>
    <row r="804" spans="1:8" x14ac:dyDescent="0.3">
      <c r="A804" t="s">
        <v>1636</v>
      </c>
      <c r="B804" t="s">
        <v>1637</v>
      </c>
      <c r="C804" t="s">
        <v>610</v>
      </c>
      <c r="D804" t="s">
        <v>53</v>
      </c>
      <c r="E804" t="s">
        <v>118</v>
      </c>
      <c r="F804" t="s">
        <v>13</v>
      </c>
      <c r="G804" t="s">
        <v>40</v>
      </c>
      <c r="H804">
        <v>430</v>
      </c>
    </row>
    <row r="805" spans="1:8" x14ac:dyDescent="0.3">
      <c r="A805" t="s">
        <v>1638</v>
      </c>
      <c r="B805" t="s">
        <v>453</v>
      </c>
      <c r="C805" t="s">
        <v>743</v>
      </c>
      <c r="D805" t="s">
        <v>53</v>
      </c>
      <c r="E805" t="s">
        <v>104</v>
      </c>
      <c r="F805" t="s">
        <v>13</v>
      </c>
      <c r="G805" t="s">
        <v>65</v>
      </c>
      <c r="H805">
        <v>50</v>
      </c>
    </row>
    <row r="806" spans="1:8" x14ac:dyDescent="0.3">
      <c r="A806" t="s">
        <v>1639</v>
      </c>
      <c r="B806" t="s">
        <v>1640</v>
      </c>
      <c r="C806" t="s">
        <v>143</v>
      </c>
      <c r="D806" t="s">
        <v>35</v>
      </c>
      <c r="E806" t="s">
        <v>72</v>
      </c>
      <c r="F806" t="s">
        <v>13</v>
      </c>
      <c r="G806" t="s">
        <v>14</v>
      </c>
      <c r="H806">
        <v>504</v>
      </c>
    </row>
    <row r="807" spans="1:8" x14ac:dyDescent="0.3">
      <c r="A807" t="s">
        <v>1641</v>
      </c>
      <c r="B807" t="s">
        <v>1642</v>
      </c>
      <c r="C807" t="s">
        <v>245</v>
      </c>
      <c r="D807" t="s">
        <v>29</v>
      </c>
      <c r="E807" t="s">
        <v>49</v>
      </c>
      <c r="F807" t="s">
        <v>13</v>
      </c>
      <c r="G807" t="s">
        <v>65</v>
      </c>
      <c r="H807">
        <v>324</v>
      </c>
    </row>
    <row r="808" spans="1:8" x14ac:dyDescent="0.3">
      <c r="A808" t="s">
        <v>1643</v>
      </c>
      <c r="B808" t="s">
        <v>209</v>
      </c>
      <c r="C808" t="s">
        <v>258</v>
      </c>
      <c r="D808" t="s">
        <v>18</v>
      </c>
      <c r="E808" t="s">
        <v>23</v>
      </c>
      <c r="F808" t="s">
        <v>13</v>
      </c>
      <c r="G808" t="s">
        <v>14</v>
      </c>
      <c r="H808">
        <v>100</v>
      </c>
    </row>
    <row r="809" spans="1:8" x14ac:dyDescent="0.3">
      <c r="A809" t="s">
        <v>1644</v>
      </c>
      <c r="B809" t="s">
        <v>1645</v>
      </c>
      <c r="C809" t="s">
        <v>1172</v>
      </c>
      <c r="D809" t="s">
        <v>18</v>
      </c>
      <c r="E809" t="s">
        <v>45</v>
      </c>
      <c r="F809" t="s">
        <v>289</v>
      </c>
      <c r="G809" t="s">
        <v>25</v>
      </c>
      <c r="H809">
        <v>460.75</v>
      </c>
    </row>
    <row r="810" spans="1:8" x14ac:dyDescent="0.3">
      <c r="A810" t="s">
        <v>1646</v>
      </c>
      <c r="B810" t="s">
        <v>1647</v>
      </c>
      <c r="C810" t="s">
        <v>445</v>
      </c>
      <c r="D810" t="s">
        <v>31</v>
      </c>
      <c r="E810" t="s">
        <v>118</v>
      </c>
      <c r="F810" t="s">
        <v>13</v>
      </c>
      <c r="G810" t="s">
        <v>25</v>
      </c>
      <c r="H810">
        <v>242</v>
      </c>
    </row>
    <row r="811" spans="1:8" x14ac:dyDescent="0.3">
      <c r="A811" t="s">
        <v>1648</v>
      </c>
      <c r="B811" t="s">
        <v>1649</v>
      </c>
      <c r="C811" t="s">
        <v>736</v>
      </c>
      <c r="D811" t="s">
        <v>18</v>
      </c>
      <c r="E811" t="s">
        <v>12</v>
      </c>
      <c r="F811" t="s">
        <v>13</v>
      </c>
      <c r="G811" t="s">
        <v>65</v>
      </c>
      <c r="H811">
        <v>223</v>
      </c>
    </row>
    <row r="812" spans="1:8" x14ac:dyDescent="0.3">
      <c r="A812" t="s">
        <v>1650</v>
      </c>
      <c r="B812" t="s">
        <v>1651</v>
      </c>
      <c r="C812" t="s">
        <v>227</v>
      </c>
      <c r="D812" t="s">
        <v>53</v>
      </c>
      <c r="E812" t="s">
        <v>76</v>
      </c>
      <c r="F812" t="s">
        <v>24</v>
      </c>
      <c r="G812" t="s">
        <v>31</v>
      </c>
      <c r="H812">
        <v>135</v>
      </c>
    </row>
    <row r="813" spans="1:8" x14ac:dyDescent="0.3">
      <c r="A813" t="s">
        <v>1652</v>
      </c>
      <c r="B813" t="s">
        <v>1278</v>
      </c>
      <c r="C813" t="s">
        <v>196</v>
      </c>
      <c r="D813" t="s">
        <v>29</v>
      </c>
      <c r="E813" t="s">
        <v>49</v>
      </c>
      <c r="F813" t="s">
        <v>13</v>
      </c>
      <c r="G813" t="s">
        <v>40</v>
      </c>
      <c r="H813">
        <v>55</v>
      </c>
    </row>
    <row r="814" spans="1:8" x14ac:dyDescent="0.3">
      <c r="A814" t="s">
        <v>1653</v>
      </c>
      <c r="B814" t="s">
        <v>533</v>
      </c>
      <c r="C814" t="s">
        <v>1654</v>
      </c>
      <c r="D814" t="s">
        <v>29</v>
      </c>
      <c r="E814" t="s">
        <v>49</v>
      </c>
      <c r="F814" t="s">
        <v>13</v>
      </c>
      <c r="G814" t="s">
        <v>40</v>
      </c>
      <c r="H814">
        <v>279</v>
      </c>
    </row>
    <row r="815" spans="1:8" x14ac:dyDescent="0.3">
      <c r="A815" t="s">
        <v>1655</v>
      </c>
      <c r="B815" t="s">
        <v>1656</v>
      </c>
      <c r="C815" t="s">
        <v>1040</v>
      </c>
      <c r="D815" t="s">
        <v>45</v>
      </c>
      <c r="E815" t="s">
        <v>295</v>
      </c>
      <c r="F815" t="s">
        <v>13</v>
      </c>
      <c r="G815" t="s">
        <v>40</v>
      </c>
      <c r="H815">
        <v>190</v>
      </c>
    </row>
    <row r="816" spans="1:8" x14ac:dyDescent="0.3">
      <c r="A816" t="s">
        <v>1657</v>
      </c>
      <c r="B816" t="s">
        <v>1658</v>
      </c>
      <c r="C816" t="s">
        <v>22</v>
      </c>
      <c r="D816" t="s">
        <v>29</v>
      </c>
      <c r="E816" t="s">
        <v>168</v>
      </c>
      <c r="F816" t="s">
        <v>13</v>
      </c>
      <c r="G816" t="s">
        <v>14</v>
      </c>
      <c r="H816">
        <v>300</v>
      </c>
    </row>
    <row r="817" spans="1:8" x14ac:dyDescent="0.3">
      <c r="A817" t="s">
        <v>1659</v>
      </c>
      <c r="B817" t="s">
        <v>1660</v>
      </c>
      <c r="C817" t="s">
        <v>224</v>
      </c>
      <c r="D817" t="s">
        <v>53</v>
      </c>
      <c r="E817" t="s">
        <v>83</v>
      </c>
      <c r="F817" t="s">
        <v>13</v>
      </c>
      <c r="G817" t="s">
        <v>65</v>
      </c>
      <c r="H817">
        <v>425</v>
      </c>
    </row>
    <row r="818" spans="1:8" x14ac:dyDescent="0.3">
      <c r="A818" t="s">
        <v>1661</v>
      </c>
      <c r="B818" t="s">
        <v>1662</v>
      </c>
      <c r="C818" t="s">
        <v>527</v>
      </c>
      <c r="D818" t="s">
        <v>53</v>
      </c>
      <c r="E818" t="s">
        <v>76</v>
      </c>
      <c r="F818" t="s">
        <v>24</v>
      </c>
      <c r="G818" t="s">
        <v>45</v>
      </c>
      <c r="H818" t="s">
        <v>45</v>
      </c>
    </row>
    <row r="819" spans="1:8" x14ac:dyDescent="0.3">
      <c r="A819" t="s">
        <v>1663</v>
      </c>
      <c r="B819" t="s">
        <v>185</v>
      </c>
      <c r="C819" t="s">
        <v>543</v>
      </c>
      <c r="D819" t="s">
        <v>35</v>
      </c>
      <c r="E819" t="s">
        <v>340</v>
      </c>
      <c r="F819" t="s">
        <v>24</v>
      </c>
      <c r="G819" t="s">
        <v>40</v>
      </c>
      <c r="H819">
        <v>387</v>
      </c>
    </row>
    <row r="820" spans="1:8" x14ac:dyDescent="0.3">
      <c r="A820" t="s">
        <v>1664</v>
      </c>
      <c r="B820" t="s">
        <v>1665</v>
      </c>
      <c r="C820" t="s">
        <v>406</v>
      </c>
      <c r="D820" t="s">
        <v>18</v>
      </c>
      <c r="E820" t="s">
        <v>295</v>
      </c>
      <c r="F820" t="s">
        <v>13</v>
      </c>
      <c r="G820" t="s">
        <v>25</v>
      </c>
      <c r="H820">
        <v>355</v>
      </c>
    </row>
    <row r="821" spans="1:8" x14ac:dyDescent="0.3">
      <c r="A821" t="s">
        <v>1666</v>
      </c>
      <c r="B821" t="s">
        <v>1667</v>
      </c>
      <c r="C821" t="s">
        <v>45</v>
      </c>
      <c r="D821" t="s">
        <v>29</v>
      </c>
      <c r="E821" t="s">
        <v>200</v>
      </c>
      <c r="F821" t="s">
        <v>13</v>
      </c>
      <c r="G821" t="s">
        <v>14</v>
      </c>
      <c r="H821">
        <v>174</v>
      </c>
    </row>
    <row r="822" spans="1:8" x14ac:dyDescent="0.3">
      <c r="A822" t="s">
        <v>1668</v>
      </c>
      <c r="B822" t="s">
        <v>45</v>
      </c>
      <c r="C822" t="s">
        <v>86</v>
      </c>
      <c r="D822" t="s">
        <v>53</v>
      </c>
      <c r="E822" t="s">
        <v>76</v>
      </c>
      <c r="F822" t="s">
        <v>158</v>
      </c>
      <c r="G822" t="s">
        <v>65</v>
      </c>
      <c r="H822" t="s">
        <v>45</v>
      </c>
    </row>
    <row r="823" spans="1:8" x14ac:dyDescent="0.3">
      <c r="A823" t="s">
        <v>1669</v>
      </c>
      <c r="B823" t="s">
        <v>1670</v>
      </c>
      <c r="C823" t="s">
        <v>316</v>
      </c>
      <c r="D823" t="s">
        <v>53</v>
      </c>
      <c r="E823" t="s">
        <v>83</v>
      </c>
      <c r="F823" t="s">
        <v>13</v>
      </c>
      <c r="G823" t="s">
        <v>40</v>
      </c>
      <c r="H823">
        <v>120</v>
      </c>
    </row>
    <row r="824" spans="1:8" x14ac:dyDescent="0.3">
      <c r="A824" t="s">
        <v>1671</v>
      </c>
      <c r="B824" t="s">
        <v>1672</v>
      </c>
      <c r="C824" t="s">
        <v>694</v>
      </c>
      <c r="D824" t="s">
        <v>45</v>
      </c>
      <c r="E824" t="s">
        <v>36</v>
      </c>
      <c r="F824" t="s">
        <v>13</v>
      </c>
      <c r="G824" t="s">
        <v>14</v>
      </c>
      <c r="H824">
        <v>190</v>
      </c>
    </row>
    <row r="825" spans="1:8" x14ac:dyDescent="0.3">
      <c r="A825" t="s">
        <v>1673</v>
      </c>
      <c r="B825" t="s">
        <v>116</v>
      </c>
      <c r="C825" t="s">
        <v>713</v>
      </c>
      <c r="D825" t="s">
        <v>35</v>
      </c>
      <c r="E825" t="s">
        <v>140</v>
      </c>
      <c r="F825" t="s">
        <v>13</v>
      </c>
      <c r="G825" t="s">
        <v>14</v>
      </c>
      <c r="H825">
        <v>360</v>
      </c>
    </row>
    <row r="826" spans="1:8" x14ac:dyDescent="0.3">
      <c r="A826" t="s">
        <v>1674</v>
      </c>
      <c r="B826" t="s">
        <v>1675</v>
      </c>
      <c r="C826" t="s">
        <v>10</v>
      </c>
      <c r="D826" t="s">
        <v>31</v>
      </c>
      <c r="E826" t="s">
        <v>340</v>
      </c>
      <c r="F826" t="s">
        <v>13</v>
      </c>
      <c r="G826" t="s">
        <v>25</v>
      </c>
      <c r="H826">
        <v>145</v>
      </c>
    </row>
    <row r="827" spans="1:8" x14ac:dyDescent="0.3">
      <c r="A827" t="s">
        <v>1676</v>
      </c>
      <c r="B827" t="s">
        <v>1677</v>
      </c>
      <c r="C827" t="s">
        <v>1254</v>
      </c>
      <c r="D827" t="s">
        <v>29</v>
      </c>
      <c r="E827" t="s">
        <v>200</v>
      </c>
      <c r="F827" t="s">
        <v>13</v>
      </c>
      <c r="G827" t="s">
        <v>144</v>
      </c>
      <c r="H827">
        <v>588</v>
      </c>
    </row>
    <row r="828" spans="1:8" x14ac:dyDescent="0.3">
      <c r="A828" t="s">
        <v>1678</v>
      </c>
      <c r="B828" t="s">
        <v>1679</v>
      </c>
      <c r="C828" t="s">
        <v>57</v>
      </c>
      <c r="D828" t="s">
        <v>29</v>
      </c>
      <c r="E828" t="s">
        <v>49</v>
      </c>
      <c r="F828" t="s">
        <v>13</v>
      </c>
      <c r="G828" t="s">
        <v>14</v>
      </c>
      <c r="H828">
        <v>445</v>
      </c>
    </row>
    <row r="829" spans="1:8" x14ac:dyDescent="0.3">
      <c r="A829" t="s">
        <v>1680</v>
      </c>
      <c r="B829" t="s">
        <v>1681</v>
      </c>
      <c r="C829" t="s">
        <v>10</v>
      </c>
      <c r="D829" t="s">
        <v>18</v>
      </c>
      <c r="E829" t="s">
        <v>87</v>
      </c>
      <c r="F829" t="s">
        <v>13</v>
      </c>
      <c r="G829" t="s">
        <v>65</v>
      </c>
      <c r="H829">
        <v>455</v>
      </c>
    </row>
    <row r="830" spans="1:8" x14ac:dyDescent="0.3">
      <c r="A830" t="s">
        <v>1682</v>
      </c>
      <c r="B830" t="s">
        <v>190</v>
      </c>
      <c r="C830" t="s">
        <v>1683</v>
      </c>
      <c r="D830" t="s">
        <v>53</v>
      </c>
      <c r="E830" t="s">
        <v>83</v>
      </c>
      <c r="F830" t="s">
        <v>13</v>
      </c>
      <c r="G830" t="s">
        <v>65</v>
      </c>
      <c r="H830">
        <v>764</v>
      </c>
    </row>
    <row r="831" spans="1:8" x14ac:dyDescent="0.3">
      <c r="A831" t="s">
        <v>1684</v>
      </c>
      <c r="B831" t="s">
        <v>1685</v>
      </c>
      <c r="C831" t="s">
        <v>117</v>
      </c>
      <c r="D831" t="s">
        <v>18</v>
      </c>
      <c r="E831" t="s">
        <v>295</v>
      </c>
      <c r="F831" t="s">
        <v>54</v>
      </c>
      <c r="G831" t="s">
        <v>14</v>
      </c>
      <c r="H831">
        <v>404.6</v>
      </c>
    </row>
    <row r="832" spans="1:8" x14ac:dyDescent="0.3">
      <c r="A832" t="s">
        <v>1686</v>
      </c>
      <c r="B832" t="s">
        <v>1687</v>
      </c>
      <c r="C832" t="s">
        <v>697</v>
      </c>
      <c r="D832" t="s">
        <v>246</v>
      </c>
      <c r="E832" t="s">
        <v>140</v>
      </c>
      <c r="F832" t="s">
        <v>13</v>
      </c>
      <c r="G832" t="s">
        <v>65</v>
      </c>
      <c r="H832">
        <v>50</v>
      </c>
    </row>
    <row r="833" spans="1:8" x14ac:dyDescent="0.3">
      <c r="A833" t="s">
        <v>1688</v>
      </c>
      <c r="B833" t="s">
        <v>1304</v>
      </c>
      <c r="C833" t="s">
        <v>1316</v>
      </c>
      <c r="D833" t="s">
        <v>479</v>
      </c>
      <c r="E833" t="s">
        <v>200</v>
      </c>
      <c r="F833" t="s">
        <v>13</v>
      </c>
      <c r="G833" t="s">
        <v>14</v>
      </c>
      <c r="H833">
        <v>130</v>
      </c>
    </row>
    <row r="834" spans="1:8" x14ac:dyDescent="0.3">
      <c r="A834" t="s">
        <v>1689</v>
      </c>
      <c r="B834" t="s">
        <v>727</v>
      </c>
      <c r="C834" t="s">
        <v>437</v>
      </c>
      <c r="D834" t="s">
        <v>53</v>
      </c>
      <c r="E834" t="s">
        <v>83</v>
      </c>
      <c r="F834" t="s">
        <v>24</v>
      </c>
      <c r="G834" t="s">
        <v>45</v>
      </c>
      <c r="H834">
        <v>45</v>
      </c>
    </row>
    <row r="835" spans="1:8" x14ac:dyDescent="0.3">
      <c r="A835" t="s">
        <v>1690</v>
      </c>
      <c r="B835" t="s">
        <v>1691</v>
      </c>
      <c r="C835" t="s">
        <v>736</v>
      </c>
      <c r="D835" t="s">
        <v>35</v>
      </c>
      <c r="E835" t="s">
        <v>44</v>
      </c>
      <c r="F835" t="s">
        <v>158</v>
      </c>
      <c r="G835" t="s">
        <v>25</v>
      </c>
      <c r="H835">
        <v>468.35</v>
      </c>
    </row>
    <row r="836" spans="1:8" x14ac:dyDescent="0.3">
      <c r="A836" t="s">
        <v>1692</v>
      </c>
      <c r="B836" t="s">
        <v>1693</v>
      </c>
      <c r="C836" t="s">
        <v>1000</v>
      </c>
      <c r="D836" t="s">
        <v>35</v>
      </c>
      <c r="E836" t="s">
        <v>44</v>
      </c>
      <c r="F836" t="s">
        <v>13</v>
      </c>
      <c r="G836" t="s">
        <v>40</v>
      </c>
      <c r="H836">
        <v>174</v>
      </c>
    </row>
    <row r="837" spans="1:8" x14ac:dyDescent="0.3">
      <c r="A837" t="s">
        <v>1694</v>
      </c>
      <c r="B837" t="s">
        <v>1645</v>
      </c>
      <c r="C837" t="s">
        <v>710</v>
      </c>
      <c r="D837" t="s">
        <v>29</v>
      </c>
      <c r="E837" t="s">
        <v>200</v>
      </c>
      <c r="F837" t="s">
        <v>13</v>
      </c>
      <c r="G837" t="s">
        <v>65</v>
      </c>
      <c r="H837">
        <v>642</v>
      </c>
    </row>
    <row r="838" spans="1:8" x14ac:dyDescent="0.3">
      <c r="A838" t="s">
        <v>1695</v>
      </c>
      <c r="B838" t="s">
        <v>1696</v>
      </c>
      <c r="C838" t="s">
        <v>520</v>
      </c>
      <c r="D838" t="s">
        <v>53</v>
      </c>
      <c r="E838" t="s">
        <v>76</v>
      </c>
      <c r="F838" t="s">
        <v>13</v>
      </c>
      <c r="G838" t="s">
        <v>65</v>
      </c>
      <c r="H838">
        <v>420</v>
      </c>
    </row>
    <row r="839" spans="1:8" x14ac:dyDescent="0.3">
      <c r="A839" t="s">
        <v>1697</v>
      </c>
      <c r="B839" t="s">
        <v>1698</v>
      </c>
      <c r="C839" t="s">
        <v>79</v>
      </c>
      <c r="D839" t="s">
        <v>157</v>
      </c>
      <c r="E839" t="s">
        <v>118</v>
      </c>
      <c r="F839" t="s">
        <v>13</v>
      </c>
      <c r="G839" t="s">
        <v>25</v>
      </c>
      <c r="H839">
        <v>595</v>
      </c>
    </row>
    <row r="840" spans="1:8" x14ac:dyDescent="0.3">
      <c r="A840" t="s">
        <v>1699</v>
      </c>
      <c r="B840" t="s">
        <v>1700</v>
      </c>
      <c r="C840" t="s">
        <v>760</v>
      </c>
      <c r="D840" t="s">
        <v>246</v>
      </c>
      <c r="E840" t="s">
        <v>44</v>
      </c>
      <c r="F840" t="s">
        <v>24</v>
      </c>
      <c r="G840" t="s">
        <v>25</v>
      </c>
      <c r="H840">
        <v>166.5</v>
      </c>
    </row>
    <row r="841" spans="1:8" x14ac:dyDescent="0.3">
      <c r="A841" t="s">
        <v>1701</v>
      </c>
      <c r="B841" t="s">
        <v>1269</v>
      </c>
      <c r="C841" t="s">
        <v>1051</v>
      </c>
      <c r="D841" t="s">
        <v>45</v>
      </c>
      <c r="E841" t="s">
        <v>49</v>
      </c>
      <c r="F841" t="s">
        <v>13</v>
      </c>
      <c r="G841" t="s">
        <v>14</v>
      </c>
      <c r="H841">
        <v>255</v>
      </c>
    </row>
    <row r="842" spans="1:8" x14ac:dyDescent="0.3">
      <c r="A842" t="s">
        <v>1702</v>
      </c>
      <c r="B842" t="s">
        <v>1703</v>
      </c>
      <c r="C842" t="s">
        <v>48</v>
      </c>
      <c r="D842" t="s">
        <v>45</v>
      </c>
      <c r="E842" t="s">
        <v>30</v>
      </c>
      <c r="F842" t="s">
        <v>64</v>
      </c>
      <c r="G842" t="s">
        <v>40</v>
      </c>
      <c r="H842">
        <v>700</v>
      </c>
    </row>
    <row r="843" spans="1:8" x14ac:dyDescent="0.3">
      <c r="A843" t="s">
        <v>1704</v>
      </c>
      <c r="B843" t="s">
        <v>1705</v>
      </c>
      <c r="C843" t="s">
        <v>988</v>
      </c>
      <c r="D843" t="s">
        <v>35</v>
      </c>
      <c r="E843" t="s">
        <v>44</v>
      </c>
      <c r="F843" t="s">
        <v>13</v>
      </c>
      <c r="G843" t="s">
        <v>25</v>
      </c>
      <c r="H843">
        <v>441</v>
      </c>
    </row>
    <row r="844" spans="1:8" x14ac:dyDescent="0.3">
      <c r="A844" t="s">
        <v>1706</v>
      </c>
      <c r="B844" t="s">
        <v>1707</v>
      </c>
      <c r="C844" t="s">
        <v>710</v>
      </c>
      <c r="D844" t="s">
        <v>35</v>
      </c>
      <c r="E844" t="s">
        <v>36</v>
      </c>
      <c r="F844" t="s">
        <v>54</v>
      </c>
      <c r="G844" t="s">
        <v>25</v>
      </c>
      <c r="H844">
        <v>451.35</v>
      </c>
    </row>
    <row r="845" spans="1:8" x14ac:dyDescent="0.3">
      <c r="A845" t="s">
        <v>1708</v>
      </c>
      <c r="B845" t="s">
        <v>1709</v>
      </c>
      <c r="C845" t="s">
        <v>224</v>
      </c>
      <c r="D845" t="s">
        <v>35</v>
      </c>
      <c r="E845" t="s">
        <v>44</v>
      </c>
      <c r="F845" t="s">
        <v>13</v>
      </c>
      <c r="G845" t="s">
        <v>65</v>
      </c>
      <c r="H845">
        <v>116</v>
      </c>
    </row>
    <row r="846" spans="1:8" x14ac:dyDescent="0.3">
      <c r="A846" t="s">
        <v>1710</v>
      </c>
      <c r="B846" t="s">
        <v>1711</v>
      </c>
      <c r="C846" t="s">
        <v>183</v>
      </c>
      <c r="D846" t="s">
        <v>35</v>
      </c>
      <c r="E846" t="s">
        <v>36</v>
      </c>
      <c r="F846" t="s">
        <v>13</v>
      </c>
      <c r="G846" t="s">
        <v>65</v>
      </c>
      <c r="H846">
        <v>304</v>
      </c>
    </row>
    <row r="847" spans="1:8" x14ac:dyDescent="0.3">
      <c r="A847" t="s">
        <v>1712</v>
      </c>
      <c r="B847" t="s">
        <v>1483</v>
      </c>
      <c r="C847" t="s">
        <v>238</v>
      </c>
      <c r="D847" t="s">
        <v>18</v>
      </c>
      <c r="E847" t="s">
        <v>12</v>
      </c>
      <c r="F847" t="s">
        <v>158</v>
      </c>
      <c r="G847" t="s">
        <v>65</v>
      </c>
      <c r="H847">
        <v>547.20000000000005</v>
      </c>
    </row>
    <row r="848" spans="1:8" x14ac:dyDescent="0.3">
      <c r="A848" t="s">
        <v>1713</v>
      </c>
      <c r="B848" t="s">
        <v>1714</v>
      </c>
      <c r="C848" t="s">
        <v>454</v>
      </c>
      <c r="D848" t="s">
        <v>18</v>
      </c>
      <c r="E848" t="s">
        <v>19</v>
      </c>
      <c r="F848" t="s">
        <v>13</v>
      </c>
      <c r="G848" t="s">
        <v>14</v>
      </c>
      <c r="H848">
        <v>617</v>
      </c>
    </row>
    <row r="849" spans="1:8" x14ac:dyDescent="0.3">
      <c r="A849" t="s">
        <v>1715</v>
      </c>
      <c r="B849" t="s">
        <v>1716</v>
      </c>
      <c r="C849" t="s">
        <v>376</v>
      </c>
      <c r="D849" t="s">
        <v>53</v>
      </c>
      <c r="E849" t="s">
        <v>118</v>
      </c>
      <c r="F849" t="s">
        <v>64</v>
      </c>
      <c r="G849" t="s">
        <v>40</v>
      </c>
      <c r="H849">
        <v>435</v>
      </c>
    </row>
    <row r="850" spans="1:8" x14ac:dyDescent="0.3">
      <c r="A850" t="s">
        <v>1717</v>
      </c>
      <c r="B850" t="s">
        <v>1718</v>
      </c>
      <c r="C850" t="s">
        <v>52</v>
      </c>
      <c r="D850" t="s">
        <v>18</v>
      </c>
      <c r="E850" t="s">
        <v>295</v>
      </c>
      <c r="F850" t="s">
        <v>54</v>
      </c>
      <c r="G850" t="s">
        <v>65</v>
      </c>
      <c r="H850">
        <v>97.75</v>
      </c>
    </row>
    <row r="851" spans="1:8" x14ac:dyDescent="0.3">
      <c r="A851" t="s">
        <v>1719</v>
      </c>
      <c r="B851" t="s">
        <v>1720</v>
      </c>
      <c r="C851" t="s">
        <v>213</v>
      </c>
      <c r="D851" t="s">
        <v>35</v>
      </c>
      <c r="E851" t="s">
        <v>72</v>
      </c>
      <c r="F851" t="s">
        <v>1721</v>
      </c>
      <c r="G851" t="s">
        <v>14</v>
      </c>
      <c r="H851">
        <v>165.75</v>
      </c>
    </row>
    <row r="852" spans="1:8" x14ac:dyDescent="0.3">
      <c r="A852" t="s">
        <v>1722</v>
      </c>
      <c r="B852" t="s">
        <v>1723</v>
      </c>
      <c r="C852" t="s">
        <v>1724</v>
      </c>
      <c r="D852" t="s">
        <v>35</v>
      </c>
      <c r="E852" t="s">
        <v>72</v>
      </c>
      <c r="F852" t="s">
        <v>13</v>
      </c>
      <c r="G852" t="s">
        <v>40</v>
      </c>
      <c r="H852">
        <v>316</v>
      </c>
    </row>
    <row r="853" spans="1:8" x14ac:dyDescent="0.3">
      <c r="A853" t="s">
        <v>1725</v>
      </c>
      <c r="B853" t="s">
        <v>1726</v>
      </c>
      <c r="C853" t="s">
        <v>45</v>
      </c>
      <c r="D853" t="s">
        <v>45</v>
      </c>
      <c r="E853" t="s">
        <v>23</v>
      </c>
      <c r="F853" t="s">
        <v>13</v>
      </c>
      <c r="G853" t="s">
        <v>40</v>
      </c>
      <c r="H853">
        <v>434</v>
      </c>
    </row>
    <row r="854" spans="1:8" x14ac:dyDescent="0.3">
      <c r="A854" t="s">
        <v>1727</v>
      </c>
      <c r="B854" t="s">
        <v>1728</v>
      </c>
      <c r="C854" t="s">
        <v>319</v>
      </c>
      <c r="D854" t="s">
        <v>35</v>
      </c>
      <c r="E854" t="s">
        <v>440</v>
      </c>
      <c r="F854" t="s">
        <v>13</v>
      </c>
      <c r="G854" t="s">
        <v>25</v>
      </c>
      <c r="H854">
        <v>55</v>
      </c>
    </row>
    <row r="855" spans="1:8" x14ac:dyDescent="0.3">
      <c r="A855" t="s">
        <v>1727</v>
      </c>
      <c r="B855" t="s">
        <v>1728</v>
      </c>
      <c r="C855" t="s">
        <v>319</v>
      </c>
      <c r="D855" t="s">
        <v>35</v>
      </c>
      <c r="E855" t="s">
        <v>36</v>
      </c>
      <c r="F855" t="s">
        <v>13</v>
      </c>
      <c r="G855" t="s">
        <v>25</v>
      </c>
      <c r="H855">
        <v>55</v>
      </c>
    </row>
    <row r="856" spans="1:8" x14ac:dyDescent="0.3">
      <c r="A856" t="s">
        <v>1729</v>
      </c>
      <c r="B856" t="s">
        <v>156</v>
      </c>
      <c r="C856" t="s">
        <v>968</v>
      </c>
      <c r="D856" t="s">
        <v>53</v>
      </c>
      <c r="E856" t="s">
        <v>118</v>
      </c>
      <c r="F856" t="s">
        <v>13</v>
      </c>
      <c r="G856" t="s">
        <v>14</v>
      </c>
      <c r="H856">
        <v>295</v>
      </c>
    </row>
    <row r="857" spans="1:8" x14ac:dyDescent="0.3">
      <c r="A857" t="s">
        <v>1730</v>
      </c>
      <c r="B857" t="s">
        <v>286</v>
      </c>
      <c r="C857" t="s">
        <v>425</v>
      </c>
      <c r="D857" t="s">
        <v>18</v>
      </c>
      <c r="E857" t="s">
        <v>45</v>
      </c>
      <c r="F857" t="s">
        <v>13</v>
      </c>
      <c r="G857" t="s">
        <v>14</v>
      </c>
      <c r="H857">
        <v>540</v>
      </c>
    </row>
    <row r="858" spans="1:8" x14ac:dyDescent="0.3">
      <c r="A858" t="s">
        <v>1730</v>
      </c>
      <c r="B858" t="s">
        <v>286</v>
      </c>
      <c r="C858" t="s">
        <v>425</v>
      </c>
      <c r="D858" t="s">
        <v>18</v>
      </c>
      <c r="E858" t="s">
        <v>23</v>
      </c>
      <c r="F858" t="s">
        <v>13</v>
      </c>
      <c r="G858" t="s">
        <v>14</v>
      </c>
      <c r="H858">
        <v>540</v>
      </c>
    </row>
    <row r="859" spans="1:8" x14ac:dyDescent="0.3">
      <c r="A859" t="s">
        <v>1731</v>
      </c>
      <c r="B859" t="s">
        <v>1732</v>
      </c>
      <c r="C859" t="s">
        <v>506</v>
      </c>
      <c r="D859" t="s">
        <v>29</v>
      </c>
      <c r="E859" t="s">
        <v>30</v>
      </c>
      <c r="F859" t="s">
        <v>1721</v>
      </c>
      <c r="G859" t="s">
        <v>65</v>
      </c>
      <c r="H859">
        <v>487.9</v>
      </c>
    </row>
    <row r="860" spans="1:8" x14ac:dyDescent="0.3">
      <c r="A860" t="s">
        <v>1733</v>
      </c>
      <c r="B860" t="s">
        <v>1734</v>
      </c>
      <c r="C860" t="s">
        <v>48</v>
      </c>
      <c r="D860" t="s">
        <v>11</v>
      </c>
      <c r="E860" t="s">
        <v>494</v>
      </c>
      <c r="F860" t="s">
        <v>13</v>
      </c>
      <c r="G860" t="s">
        <v>25</v>
      </c>
      <c r="H860">
        <v>650</v>
      </c>
    </row>
    <row r="861" spans="1:8" x14ac:dyDescent="0.3">
      <c r="A861" t="s">
        <v>1735</v>
      </c>
      <c r="B861" t="s">
        <v>45</v>
      </c>
      <c r="C861" t="s">
        <v>1470</v>
      </c>
      <c r="D861" t="s">
        <v>35</v>
      </c>
      <c r="E861" t="s">
        <v>44</v>
      </c>
      <c r="F861" t="s">
        <v>13</v>
      </c>
      <c r="G861" t="s">
        <v>25</v>
      </c>
      <c r="H861">
        <v>170</v>
      </c>
    </row>
    <row r="862" spans="1:8" x14ac:dyDescent="0.3">
      <c r="A862" t="s">
        <v>1736</v>
      </c>
      <c r="B862" t="s">
        <v>1737</v>
      </c>
      <c r="C862" t="s">
        <v>1316</v>
      </c>
      <c r="D862" t="s">
        <v>18</v>
      </c>
      <c r="E862" t="s">
        <v>23</v>
      </c>
      <c r="F862" t="s">
        <v>13</v>
      </c>
      <c r="G862" t="s">
        <v>40</v>
      </c>
      <c r="H862">
        <v>567</v>
      </c>
    </row>
    <row r="863" spans="1:8" x14ac:dyDescent="0.3">
      <c r="A863" t="s">
        <v>1738</v>
      </c>
      <c r="B863" t="s">
        <v>1739</v>
      </c>
      <c r="C863" t="s">
        <v>57</v>
      </c>
      <c r="D863" t="s">
        <v>35</v>
      </c>
      <c r="E863" t="s">
        <v>72</v>
      </c>
      <c r="F863" t="s">
        <v>13</v>
      </c>
      <c r="G863" t="s">
        <v>25</v>
      </c>
      <c r="H863">
        <v>58</v>
      </c>
    </row>
    <row r="864" spans="1:8" x14ac:dyDescent="0.3">
      <c r="A864" t="s">
        <v>1740</v>
      </c>
      <c r="B864" t="s">
        <v>198</v>
      </c>
      <c r="C864" t="s">
        <v>396</v>
      </c>
      <c r="D864" t="s">
        <v>29</v>
      </c>
      <c r="E864" t="s">
        <v>123</v>
      </c>
      <c r="F864" t="s">
        <v>54</v>
      </c>
      <c r="G864" t="s">
        <v>40</v>
      </c>
      <c r="H864">
        <v>208.25</v>
      </c>
    </row>
    <row r="865" spans="1:8" x14ac:dyDescent="0.3">
      <c r="A865" t="s">
        <v>1741</v>
      </c>
      <c r="B865" t="s">
        <v>898</v>
      </c>
      <c r="C865" t="s">
        <v>700</v>
      </c>
      <c r="D865" t="s">
        <v>29</v>
      </c>
      <c r="E865" t="s">
        <v>123</v>
      </c>
      <c r="F865" t="s">
        <v>13</v>
      </c>
      <c r="G865" t="s">
        <v>65</v>
      </c>
      <c r="H865" t="s">
        <v>45</v>
      </c>
    </row>
    <row r="866" spans="1:8" x14ac:dyDescent="0.3">
      <c r="A866" t="s">
        <v>1742</v>
      </c>
      <c r="B866" t="s">
        <v>952</v>
      </c>
      <c r="C866" t="s">
        <v>86</v>
      </c>
      <c r="D866" t="s">
        <v>53</v>
      </c>
      <c r="E866" t="s">
        <v>45</v>
      </c>
      <c r="F866" t="s">
        <v>24</v>
      </c>
      <c r="G866" t="s">
        <v>65</v>
      </c>
      <c r="H866">
        <v>225</v>
      </c>
    </row>
    <row r="867" spans="1:8" x14ac:dyDescent="0.3">
      <c r="A867" t="s">
        <v>1742</v>
      </c>
      <c r="B867" t="s">
        <v>952</v>
      </c>
      <c r="C867" t="s">
        <v>86</v>
      </c>
      <c r="D867" t="s">
        <v>53</v>
      </c>
      <c r="E867" t="s">
        <v>104</v>
      </c>
      <c r="F867" t="s">
        <v>24</v>
      </c>
      <c r="G867" t="s">
        <v>65</v>
      </c>
      <c r="H867">
        <v>225</v>
      </c>
    </row>
    <row r="868" spans="1:8" x14ac:dyDescent="0.3">
      <c r="A868" t="s">
        <v>1743</v>
      </c>
      <c r="B868" t="s">
        <v>1744</v>
      </c>
      <c r="C868" t="s">
        <v>856</v>
      </c>
      <c r="D868" t="s">
        <v>35</v>
      </c>
      <c r="E868" t="s">
        <v>340</v>
      </c>
      <c r="F868" t="s">
        <v>13</v>
      </c>
      <c r="G868" t="s">
        <v>14</v>
      </c>
      <c r="H868">
        <v>260</v>
      </c>
    </row>
    <row r="869" spans="1:8" x14ac:dyDescent="0.3">
      <c r="A869" t="s">
        <v>1745</v>
      </c>
      <c r="B869" t="s">
        <v>977</v>
      </c>
      <c r="C869" t="s">
        <v>872</v>
      </c>
      <c r="D869" t="s">
        <v>18</v>
      </c>
      <c r="E869" t="s">
        <v>12</v>
      </c>
      <c r="F869" t="s">
        <v>54</v>
      </c>
      <c r="G869" t="s">
        <v>25</v>
      </c>
      <c r="H869">
        <v>472.6</v>
      </c>
    </row>
    <row r="870" spans="1:8" x14ac:dyDescent="0.3">
      <c r="A870" t="s">
        <v>1746</v>
      </c>
      <c r="B870" t="s">
        <v>1747</v>
      </c>
      <c r="C870" t="s">
        <v>1227</v>
      </c>
      <c r="D870" t="s">
        <v>35</v>
      </c>
      <c r="E870" t="s">
        <v>72</v>
      </c>
      <c r="F870" t="s">
        <v>13</v>
      </c>
      <c r="G870" t="s">
        <v>25</v>
      </c>
      <c r="H870">
        <v>210</v>
      </c>
    </row>
    <row r="871" spans="1:8" x14ac:dyDescent="0.3">
      <c r="A871" t="s">
        <v>1748</v>
      </c>
      <c r="B871" t="s">
        <v>1749</v>
      </c>
      <c r="C871" t="s">
        <v>798</v>
      </c>
      <c r="D871" t="s">
        <v>35</v>
      </c>
      <c r="E871" t="s">
        <v>140</v>
      </c>
      <c r="F871" t="s">
        <v>24</v>
      </c>
      <c r="G871" t="s">
        <v>119</v>
      </c>
      <c r="H871">
        <v>390.6</v>
      </c>
    </row>
    <row r="872" spans="1:8" x14ac:dyDescent="0.3">
      <c r="A872" t="s">
        <v>1750</v>
      </c>
      <c r="B872" t="s">
        <v>1751</v>
      </c>
      <c r="C872" t="s">
        <v>881</v>
      </c>
      <c r="D872" t="s">
        <v>35</v>
      </c>
      <c r="E872" t="s">
        <v>72</v>
      </c>
      <c r="F872" t="s">
        <v>158</v>
      </c>
      <c r="G872" t="s">
        <v>25</v>
      </c>
      <c r="H872">
        <v>52.25</v>
      </c>
    </row>
    <row r="873" spans="1:8" x14ac:dyDescent="0.3">
      <c r="A873" t="s">
        <v>1752</v>
      </c>
      <c r="B873" t="s">
        <v>1753</v>
      </c>
      <c r="C873" t="s">
        <v>517</v>
      </c>
      <c r="D873" t="s">
        <v>35</v>
      </c>
      <c r="E873" t="s">
        <v>44</v>
      </c>
      <c r="F873" t="s">
        <v>24</v>
      </c>
      <c r="G873" t="s">
        <v>65</v>
      </c>
      <c r="H873">
        <v>342</v>
      </c>
    </row>
    <row r="874" spans="1:8" x14ac:dyDescent="0.3">
      <c r="A874" t="s">
        <v>1754</v>
      </c>
      <c r="B874" t="s">
        <v>1755</v>
      </c>
      <c r="C874" t="s">
        <v>82</v>
      </c>
      <c r="D874" t="s">
        <v>35</v>
      </c>
      <c r="E874" t="s">
        <v>72</v>
      </c>
      <c r="F874" t="s">
        <v>24</v>
      </c>
      <c r="G874" t="s">
        <v>65</v>
      </c>
      <c r="H874">
        <v>104.4</v>
      </c>
    </row>
    <row r="875" spans="1:8" x14ac:dyDescent="0.3">
      <c r="A875" t="s">
        <v>1756</v>
      </c>
      <c r="B875" t="s">
        <v>1757</v>
      </c>
      <c r="C875" t="s">
        <v>587</v>
      </c>
      <c r="D875" t="s">
        <v>29</v>
      </c>
      <c r="E875" t="s">
        <v>168</v>
      </c>
      <c r="F875" t="s">
        <v>13</v>
      </c>
      <c r="G875" t="s">
        <v>14</v>
      </c>
      <c r="H875">
        <v>334</v>
      </c>
    </row>
    <row r="876" spans="1:8" x14ac:dyDescent="0.3">
      <c r="A876" t="s">
        <v>1758</v>
      </c>
      <c r="B876" t="s">
        <v>1759</v>
      </c>
      <c r="C876" t="s">
        <v>1760</v>
      </c>
      <c r="D876" t="s">
        <v>29</v>
      </c>
      <c r="E876" t="s">
        <v>123</v>
      </c>
      <c r="F876" t="s">
        <v>13</v>
      </c>
      <c r="G876" t="s">
        <v>65</v>
      </c>
      <c r="H876">
        <v>555</v>
      </c>
    </row>
    <row r="877" spans="1:8" x14ac:dyDescent="0.3">
      <c r="A877" t="s">
        <v>1761</v>
      </c>
      <c r="B877" t="s">
        <v>1635</v>
      </c>
      <c r="C877" t="s">
        <v>497</v>
      </c>
      <c r="D877" t="s">
        <v>35</v>
      </c>
      <c r="E877" t="s">
        <v>72</v>
      </c>
      <c r="F877" t="s">
        <v>24</v>
      </c>
      <c r="G877" t="s">
        <v>14</v>
      </c>
      <c r="H877">
        <v>171</v>
      </c>
    </row>
    <row r="878" spans="1:8" x14ac:dyDescent="0.3">
      <c r="A878" t="s">
        <v>1762</v>
      </c>
      <c r="B878" t="s">
        <v>582</v>
      </c>
      <c r="C878" t="s">
        <v>1070</v>
      </c>
      <c r="D878" t="s">
        <v>29</v>
      </c>
      <c r="E878" t="s">
        <v>200</v>
      </c>
      <c r="F878" t="s">
        <v>24</v>
      </c>
      <c r="G878" t="s">
        <v>14</v>
      </c>
      <c r="H878">
        <v>72</v>
      </c>
    </row>
    <row r="879" spans="1:8" x14ac:dyDescent="0.3">
      <c r="A879" t="s">
        <v>1763</v>
      </c>
      <c r="B879" t="s">
        <v>1271</v>
      </c>
      <c r="C879" t="s">
        <v>103</v>
      </c>
      <c r="D879" t="s">
        <v>35</v>
      </c>
      <c r="E879" t="s">
        <v>140</v>
      </c>
      <c r="F879" t="s">
        <v>54</v>
      </c>
      <c r="G879" t="s">
        <v>65</v>
      </c>
      <c r="H879">
        <v>266.89999999999998</v>
      </c>
    </row>
    <row r="880" spans="1:8" x14ac:dyDescent="0.3">
      <c r="A880" t="s">
        <v>1764</v>
      </c>
      <c r="B880" t="s">
        <v>424</v>
      </c>
      <c r="C880" t="s">
        <v>233</v>
      </c>
      <c r="D880" t="s">
        <v>53</v>
      </c>
      <c r="E880" t="s">
        <v>76</v>
      </c>
      <c r="F880" t="s">
        <v>13</v>
      </c>
      <c r="G880" t="s">
        <v>25</v>
      </c>
      <c r="H880">
        <v>344</v>
      </c>
    </row>
    <row r="881" spans="1:8" x14ac:dyDescent="0.3">
      <c r="A881" t="s">
        <v>1765</v>
      </c>
      <c r="B881" t="s">
        <v>1766</v>
      </c>
      <c r="C881" t="s">
        <v>303</v>
      </c>
      <c r="D881" t="s">
        <v>29</v>
      </c>
      <c r="E881" t="s">
        <v>30</v>
      </c>
      <c r="F881" t="s">
        <v>54</v>
      </c>
      <c r="G881" t="s">
        <v>65</v>
      </c>
      <c r="H881">
        <v>429.25</v>
      </c>
    </row>
    <row r="882" spans="1:8" x14ac:dyDescent="0.3">
      <c r="A882" t="s">
        <v>1767</v>
      </c>
      <c r="B882" t="s">
        <v>1768</v>
      </c>
      <c r="C882" t="s">
        <v>615</v>
      </c>
      <c r="D882" t="s">
        <v>29</v>
      </c>
      <c r="E882" t="s">
        <v>123</v>
      </c>
      <c r="F882" t="s">
        <v>45</v>
      </c>
      <c r="G882" t="s">
        <v>65</v>
      </c>
      <c r="H882">
        <v>55</v>
      </c>
    </row>
    <row r="883" spans="1:8" x14ac:dyDescent="0.3">
      <c r="A883" t="s">
        <v>1769</v>
      </c>
      <c r="B883" t="s">
        <v>909</v>
      </c>
      <c r="C883" t="s">
        <v>188</v>
      </c>
      <c r="D883" t="s">
        <v>18</v>
      </c>
      <c r="E883" t="s">
        <v>19</v>
      </c>
      <c r="F883" t="s">
        <v>54</v>
      </c>
      <c r="G883" t="s">
        <v>31</v>
      </c>
      <c r="H883">
        <v>353.6</v>
      </c>
    </row>
    <row r="884" spans="1:8" x14ac:dyDescent="0.3">
      <c r="A884" t="s">
        <v>1770</v>
      </c>
      <c r="B884" t="s">
        <v>1771</v>
      </c>
      <c r="C884" t="s">
        <v>183</v>
      </c>
      <c r="D884" t="s">
        <v>18</v>
      </c>
      <c r="E884" t="s">
        <v>87</v>
      </c>
      <c r="F884" t="s">
        <v>13</v>
      </c>
      <c r="G884" t="s">
        <v>25</v>
      </c>
      <c r="H884">
        <v>561</v>
      </c>
    </row>
    <row r="885" spans="1:8" x14ac:dyDescent="0.3">
      <c r="A885" t="s">
        <v>1772</v>
      </c>
      <c r="B885" t="s">
        <v>529</v>
      </c>
      <c r="C885" t="s">
        <v>258</v>
      </c>
      <c r="D885" t="s">
        <v>35</v>
      </c>
      <c r="E885" t="s">
        <v>140</v>
      </c>
      <c r="F885" t="s">
        <v>13</v>
      </c>
      <c r="G885" t="s">
        <v>119</v>
      </c>
      <c r="H885">
        <v>160</v>
      </c>
    </row>
    <row r="886" spans="1:8" x14ac:dyDescent="0.3">
      <c r="A886" t="s">
        <v>1773</v>
      </c>
      <c r="B886" t="s">
        <v>1774</v>
      </c>
      <c r="C886" t="s">
        <v>668</v>
      </c>
      <c r="D886" t="s">
        <v>53</v>
      </c>
      <c r="E886" t="s">
        <v>138</v>
      </c>
      <c r="F886" t="s">
        <v>13</v>
      </c>
      <c r="G886" t="s">
        <v>65</v>
      </c>
      <c r="H886">
        <v>255</v>
      </c>
    </row>
    <row r="887" spans="1:8" x14ac:dyDescent="0.3">
      <c r="A887" t="s">
        <v>1775</v>
      </c>
      <c r="B887" t="s">
        <v>1776</v>
      </c>
      <c r="C887" t="s">
        <v>668</v>
      </c>
      <c r="D887" t="s">
        <v>18</v>
      </c>
      <c r="E887" t="s">
        <v>19</v>
      </c>
      <c r="F887" t="s">
        <v>13</v>
      </c>
      <c r="G887" t="s">
        <v>65</v>
      </c>
      <c r="H887">
        <v>455</v>
      </c>
    </row>
    <row r="888" spans="1:8" x14ac:dyDescent="0.3">
      <c r="A888" t="s">
        <v>1777</v>
      </c>
      <c r="B888" t="s">
        <v>1778</v>
      </c>
      <c r="C888" t="s">
        <v>230</v>
      </c>
      <c r="D888" t="s">
        <v>157</v>
      </c>
      <c r="E888" t="s">
        <v>118</v>
      </c>
      <c r="F888" t="s">
        <v>54</v>
      </c>
      <c r="G888" t="s">
        <v>40</v>
      </c>
      <c r="H888">
        <v>486.2</v>
      </c>
    </row>
    <row r="889" spans="1:8" x14ac:dyDescent="0.3">
      <c r="A889" t="s">
        <v>1779</v>
      </c>
      <c r="B889" t="s">
        <v>1083</v>
      </c>
      <c r="C889" t="s">
        <v>1191</v>
      </c>
      <c r="D889" t="s">
        <v>11</v>
      </c>
      <c r="E889" t="s">
        <v>12</v>
      </c>
      <c r="F889" t="s">
        <v>54</v>
      </c>
      <c r="G889" t="s">
        <v>31</v>
      </c>
      <c r="H889">
        <v>204</v>
      </c>
    </row>
    <row r="890" spans="1:8" x14ac:dyDescent="0.3">
      <c r="A890" t="s">
        <v>1780</v>
      </c>
      <c r="B890" t="s">
        <v>1781</v>
      </c>
      <c r="C890" t="s">
        <v>543</v>
      </c>
      <c r="D890" t="s">
        <v>29</v>
      </c>
      <c r="E890" t="s">
        <v>200</v>
      </c>
      <c r="F890" t="s">
        <v>24</v>
      </c>
      <c r="G890" t="s">
        <v>25</v>
      </c>
      <c r="H890">
        <v>411.3</v>
      </c>
    </row>
    <row r="891" spans="1:8" x14ac:dyDescent="0.3">
      <c r="A891" t="s">
        <v>1782</v>
      </c>
      <c r="B891" t="s">
        <v>1783</v>
      </c>
      <c r="C891" t="s">
        <v>671</v>
      </c>
      <c r="D891" t="s">
        <v>35</v>
      </c>
      <c r="E891" t="s">
        <v>340</v>
      </c>
      <c r="F891" t="s">
        <v>13</v>
      </c>
      <c r="G891" t="s">
        <v>14</v>
      </c>
      <c r="H891">
        <v>565</v>
      </c>
    </row>
    <row r="892" spans="1:8" x14ac:dyDescent="0.3">
      <c r="A892" t="s">
        <v>1784</v>
      </c>
      <c r="B892" t="s">
        <v>869</v>
      </c>
      <c r="C892" t="s">
        <v>45</v>
      </c>
      <c r="D892" t="s">
        <v>18</v>
      </c>
      <c r="E892" t="s">
        <v>23</v>
      </c>
      <c r="F892" t="s">
        <v>54</v>
      </c>
      <c r="G892" t="s">
        <v>268</v>
      </c>
      <c r="H892">
        <v>80.75</v>
      </c>
    </row>
    <row r="893" spans="1:8" x14ac:dyDescent="0.3">
      <c r="A893" t="s">
        <v>1785</v>
      </c>
      <c r="B893" t="s">
        <v>1786</v>
      </c>
      <c r="C893" t="s">
        <v>671</v>
      </c>
      <c r="D893" t="s">
        <v>29</v>
      </c>
      <c r="E893" t="s">
        <v>168</v>
      </c>
      <c r="F893" t="s">
        <v>24</v>
      </c>
      <c r="G893" t="s">
        <v>14</v>
      </c>
      <c r="H893">
        <v>63</v>
      </c>
    </row>
    <row r="894" spans="1:8" x14ac:dyDescent="0.3">
      <c r="A894" t="s">
        <v>1785</v>
      </c>
      <c r="B894" t="s">
        <v>1786</v>
      </c>
      <c r="C894" t="s">
        <v>671</v>
      </c>
      <c r="D894" t="s">
        <v>29</v>
      </c>
      <c r="E894" t="s">
        <v>168</v>
      </c>
      <c r="F894" t="s">
        <v>24</v>
      </c>
      <c r="G894" t="s">
        <v>14</v>
      </c>
      <c r="H894">
        <v>63</v>
      </c>
    </row>
    <row r="895" spans="1:8" x14ac:dyDescent="0.3">
      <c r="A895" t="s">
        <v>1787</v>
      </c>
      <c r="B895" t="s">
        <v>1788</v>
      </c>
      <c r="C895" t="s">
        <v>1789</v>
      </c>
      <c r="D895" t="s">
        <v>18</v>
      </c>
      <c r="E895" t="s">
        <v>19</v>
      </c>
      <c r="F895" t="s">
        <v>13</v>
      </c>
      <c r="G895" t="s">
        <v>25</v>
      </c>
      <c r="H895">
        <v>639</v>
      </c>
    </row>
    <row r="896" spans="1:8" x14ac:dyDescent="0.3">
      <c r="A896" t="s">
        <v>1790</v>
      </c>
      <c r="B896" t="s">
        <v>1791</v>
      </c>
      <c r="C896" t="s">
        <v>1789</v>
      </c>
      <c r="D896" t="s">
        <v>35</v>
      </c>
      <c r="E896" t="s">
        <v>44</v>
      </c>
      <c r="F896" t="s">
        <v>24</v>
      </c>
      <c r="G896" t="s">
        <v>14</v>
      </c>
      <c r="H896">
        <v>378.9</v>
      </c>
    </row>
    <row r="897" spans="1:8" x14ac:dyDescent="0.3">
      <c r="A897" t="s">
        <v>1792</v>
      </c>
      <c r="B897" t="s">
        <v>31</v>
      </c>
      <c r="C897" t="s">
        <v>219</v>
      </c>
      <c r="D897" t="s">
        <v>18</v>
      </c>
      <c r="E897" t="s">
        <v>19</v>
      </c>
      <c r="F897" t="s">
        <v>24</v>
      </c>
      <c r="G897" t="s">
        <v>14</v>
      </c>
      <c r="H897">
        <v>536.4</v>
      </c>
    </row>
    <row r="898" spans="1:8" x14ac:dyDescent="0.3">
      <c r="A898" t="s">
        <v>1793</v>
      </c>
      <c r="B898" t="s">
        <v>1417</v>
      </c>
      <c r="C898" t="s">
        <v>31</v>
      </c>
      <c r="D898" t="s">
        <v>29</v>
      </c>
      <c r="E898" t="s">
        <v>1103</v>
      </c>
      <c r="F898" t="s">
        <v>13</v>
      </c>
      <c r="G898" t="s">
        <v>25</v>
      </c>
      <c r="H898">
        <v>603</v>
      </c>
    </row>
    <row r="899" spans="1:8" x14ac:dyDescent="0.3">
      <c r="A899" t="s">
        <v>1794</v>
      </c>
      <c r="B899" t="s">
        <v>1795</v>
      </c>
      <c r="C899" t="s">
        <v>534</v>
      </c>
      <c r="D899" t="s">
        <v>45</v>
      </c>
      <c r="E899" t="s">
        <v>36</v>
      </c>
      <c r="F899" t="s">
        <v>13</v>
      </c>
      <c r="G899" t="s">
        <v>40</v>
      </c>
      <c r="H899">
        <v>285</v>
      </c>
    </row>
    <row r="900" spans="1:8" x14ac:dyDescent="0.3">
      <c r="A900" t="s">
        <v>1796</v>
      </c>
      <c r="B900" t="s">
        <v>110</v>
      </c>
      <c r="C900" t="s">
        <v>360</v>
      </c>
      <c r="D900" t="s">
        <v>35</v>
      </c>
      <c r="E900" t="s">
        <v>36</v>
      </c>
      <c r="F900" t="s">
        <v>54</v>
      </c>
      <c r="G900" t="s">
        <v>14</v>
      </c>
      <c r="H900">
        <v>323</v>
      </c>
    </row>
    <row r="901" spans="1:8" x14ac:dyDescent="0.3">
      <c r="A901" t="s">
        <v>1797</v>
      </c>
      <c r="B901" t="s">
        <v>1798</v>
      </c>
      <c r="C901" t="s">
        <v>164</v>
      </c>
      <c r="D901" t="s">
        <v>29</v>
      </c>
      <c r="E901" t="s">
        <v>200</v>
      </c>
      <c r="F901" t="s">
        <v>45</v>
      </c>
      <c r="G901" t="s">
        <v>14</v>
      </c>
      <c r="H901">
        <v>360</v>
      </c>
    </row>
    <row r="902" spans="1:8" x14ac:dyDescent="0.3">
      <c r="A902" t="s">
        <v>1799</v>
      </c>
      <c r="B902" t="s">
        <v>1800</v>
      </c>
      <c r="C902" t="s">
        <v>668</v>
      </c>
      <c r="D902" t="s">
        <v>53</v>
      </c>
      <c r="E902" t="s">
        <v>138</v>
      </c>
      <c r="F902" t="s">
        <v>13</v>
      </c>
      <c r="G902" t="s">
        <v>14</v>
      </c>
      <c r="H902">
        <v>180</v>
      </c>
    </row>
    <row r="903" spans="1:8" x14ac:dyDescent="0.3">
      <c r="A903" t="s">
        <v>1801</v>
      </c>
      <c r="B903" t="s">
        <v>1802</v>
      </c>
      <c r="C903" t="s">
        <v>634</v>
      </c>
      <c r="D903" t="s">
        <v>35</v>
      </c>
      <c r="E903" t="s">
        <v>44</v>
      </c>
      <c r="F903" t="s">
        <v>13</v>
      </c>
      <c r="G903" t="s">
        <v>65</v>
      </c>
      <c r="H903">
        <v>426</v>
      </c>
    </row>
    <row r="904" spans="1:8" x14ac:dyDescent="0.3">
      <c r="A904" t="s">
        <v>1803</v>
      </c>
      <c r="B904" t="s">
        <v>45</v>
      </c>
      <c r="C904" t="s">
        <v>497</v>
      </c>
      <c r="D904" t="s">
        <v>35</v>
      </c>
      <c r="E904" t="s">
        <v>36</v>
      </c>
      <c r="F904" t="s">
        <v>13</v>
      </c>
      <c r="G904" t="s">
        <v>65</v>
      </c>
      <c r="H904">
        <v>240</v>
      </c>
    </row>
    <row r="905" spans="1:8" x14ac:dyDescent="0.3">
      <c r="A905" t="s">
        <v>1804</v>
      </c>
      <c r="B905" t="s">
        <v>1805</v>
      </c>
      <c r="C905" t="s">
        <v>668</v>
      </c>
      <c r="D905" t="s">
        <v>35</v>
      </c>
      <c r="E905" t="s">
        <v>36</v>
      </c>
      <c r="F905" t="s">
        <v>158</v>
      </c>
      <c r="G905" t="s">
        <v>65</v>
      </c>
      <c r="H905">
        <v>294.5</v>
      </c>
    </row>
    <row r="906" spans="1:8" x14ac:dyDescent="0.3">
      <c r="A906" t="s">
        <v>1806</v>
      </c>
      <c r="B906" t="s">
        <v>1035</v>
      </c>
      <c r="C906" t="s">
        <v>1070</v>
      </c>
      <c r="D906" t="s">
        <v>35</v>
      </c>
      <c r="E906" t="s">
        <v>36</v>
      </c>
      <c r="F906" t="s">
        <v>13</v>
      </c>
      <c r="G906" t="s">
        <v>65</v>
      </c>
      <c r="H906">
        <v>415</v>
      </c>
    </row>
    <row r="907" spans="1:8" x14ac:dyDescent="0.3">
      <c r="A907" t="s">
        <v>1807</v>
      </c>
      <c r="B907" t="s">
        <v>1146</v>
      </c>
      <c r="C907" t="s">
        <v>474</v>
      </c>
      <c r="D907" t="s">
        <v>29</v>
      </c>
      <c r="E907" t="s">
        <v>168</v>
      </c>
      <c r="F907" t="s">
        <v>13</v>
      </c>
      <c r="G907" t="s">
        <v>14</v>
      </c>
      <c r="H907">
        <v>204</v>
      </c>
    </row>
    <row r="908" spans="1:8" x14ac:dyDescent="0.3">
      <c r="A908" t="s">
        <v>1808</v>
      </c>
      <c r="B908" t="s">
        <v>1341</v>
      </c>
      <c r="C908" t="s">
        <v>1809</v>
      </c>
      <c r="D908" t="s">
        <v>29</v>
      </c>
      <c r="E908" t="s">
        <v>123</v>
      </c>
      <c r="F908" t="s">
        <v>13</v>
      </c>
      <c r="G908" t="s">
        <v>40</v>
      </c>
      <c r="H908">
        <v>280</v>
      </c>
    </row>
    <row r="909" spans="1:8" x14ac:dyDescent="0.3">
      <c r="A909" t="s">
        <v>1808</v>
      </c>
      <c r="B909" t="s">
        <v>1341</v>
      </c>
      <c r="C909" t="s">
        <v>167</v>
      </c>
      <c r="D909" t="s">
        <v>29</v>
      </c>
      <c r="E909" t="s">
        <v>123</v>
      </c>
      <c r="F909" t="s">
        <v>13</v>
      </c>
      <c r="G909" t="s">
        <v>40</v>
      </c>
      <c r="H909">
        <v>280</v>
      </c>
    </row>
    <row r="910" spans="1:8" x14ac:dyDescent="0.3">
      <c r="A910" t="s">
        <v>1810</v>
      </c>
      <c r="B910" t="s">
        <v>502</v>
      </c>
      <c r="C910" t="s">
        <v>252</v>
      </c>
      <c r="D910" t="s">
        <v>53</v>
      </c>
      <c r="E910" t="s">
        <v>138</v>
      </c>
      <c r="F910" t="s">
        <v>13</v>
      </c>
      <c r="G910" t="s">
        <v>40</v>
      </c>
      <c r="H910">
        <v>160</v>
      </c>
    </row>
    <row r="911" spans="1:8" x14ac:dyDescent="0.3">
      <c r="A911" t="s">
        <v>1811</v>
      </c>
      <c r="B911" t="s">
        <v>45</v>
      </c>
      <c r="C911" t="s">
        <v>366</v>
      </c>
      <c r="D911" t="s">
        <v>35</v>
      </c>
      <c r="E911" t="s">
        <v>340</v>
      </c>
      <c r="F911" t="s">
        <v>13</v>
      </c>
      <c r="G911" t="s">
        <v>25</v>
      </c>
      <c r="H911">
        <v>338</v>
      </c>
    </row>
    <row r="912" spans="1:8" x14ac:dyDescent="0.3">
      <c r="A912" t="s">
        <v>1812</v>
      </c>
      <c r="B912" t="s">
        <v>1813</v>
      </c>
      <c r="C912" t="s">
        <v>219</v>
      </c>
      <c r="D912" t="s">
        <v>53</v>
      </c>
      <c r="E912" t="s">
        <v>138</v>
      </c>
      <c r="F912" t="s">
        <v>54</v>
      </c>
      <c r="G912" t="s">
        <v>25</v>
      </c>
      <c r="H912">
        <v>370.6</v>
      </c>
    </row>
    <row r="913" spans="1:8" x14ac:dyDescent="0.3">
      <c r="A913" t="s">
        <v>1814</v>
      </c>
      <c r="B913" t="s">
        <v>1815</v>
      </c>
      <c r="C913" t="s">
        <v>1585</v>
      </c>
      <c r="D913" t="s">
        <v>11</v>
      </c>
      <c r="E913" t="s">
        <v>87</v>
      </c>
      <c r="F913" t="s">
        <v>13</v>
      </c>
      <c r="G913" t="s">
        <v>14</v>
      </c>
      <c r="H913">
        <v>201</v>
      </c>
    </row>
    <row r="914" spans="1:8" x14ac:dyDescent="0.3">
      <c r="A914" t="s">
        <v>1816</v>
      </c>
      <c r="B914" t="s">
        <v>92</v>
      </c>
      <c r="C914" t="s">
        <v>196</v>
      </c>
      <c r="D914" t="s">
        <v>29</v>
      </c>
      <c r="E914" t="s">
        <v>200</v>
      </c>
      <c r="F914" t="s">
        <v>54</v>
      </c>
      <c r="G914" t="s">
        <v>65</v>
      </c>
      <c r="H914">
        <v>353.6</v>
      </c>
    </row>
    <row r="915" spans="1:8" x14ac:dyDescent="0.3">
      <c r="A915" t="s">
        <v>1817</v>
      </c>
      <c r="B915" t="s">
        <v>1818</v>
      </c>
      <c r="C915" t="s">
        <v>216</v>
      </c>
      <c r="D915" t="s">
        <v>31</v>
      </c>
      <c r="E915" t="s">
        <v>87</v>
      </c>
      <c r="F915" t="s">
        <v>13</v>
      </c>
      <c r="G915" t="s">
        <v>40</v>
      </c>
      <c r="H915">
        <v>373</v>
      </c>
    </row>
    <row r="916" spans="1:8" x14ac:dyDescent="0.3">
      <c r="A916" t="s">
        <v>1819</v>
      </c>
      <c r="B916" t="s">
        <v>1820</v>
      </c>
      <c r="C916" t="s">
        <v>1043</v>
      </c>
      <c r="D916" t="s">
        <v>35</v>
      </c>
      <c r="E916" t="s">
        <v>44</v>
      </c>
      <c r="F916" t="s">
        <v>13</v>
      </c>
      <c r="G916" t="s">
        <v>65</v>
      </c>
      <c r="H916">
        <v>559</v>
      </c>
    </row>
    <row r="917" spans="1:8" x14ac:dyDescent="0.3">
      <c r="A917" t="s">
        <v>1821</v>
      </c>
      <c r="B917" t="s">
        <v>1822</v>
      </c>
      <c r="C917" t="s">
        <v>48</v>
      </c>
      <c r="D917" t="s">
        <v>29</v>
      </c>
      <c r="E917" t="s">
        <v>123</v>
      </c>
      <c r="F917" t="s">
        <v>13</v>
      </c>
      <c r="G917" t="s">
        <v>65</v>
      </c>
      <c r="H917" t="s">
        <v>45</v>
      </c>
    </row>
    <row r="918" spans="1:8" x14ac:dyDescent="0.3">
      <c r="A918" t="s">
        <v>1823</v>
      </c>
      <c r="B918" t="s">
        <v>639</v>
      </c>
      <c r="C918" t="s">
        <v>349</v>
      </c>
      <c r="D918" t="s">
        <v>53</v>
      </c>
      <c r="E918" t="s">
        <v>76</v>
      </c>
      <c r="F918" t="s">
        <v>24</v>
      </c>
      <c r="G918" t="s">
        <v>65</v>
      </c>
      <c r="H918">
        <v>175.5</v>
      </c>
    </row>
    <row r="919" spans="1:8" x14ac:dyDescent="0.3">
      <c r="A919" t="s">
        <v>1824</v>
      </c>
      <c r="B919" t="s">
        <v>1825</v>
      </c>
      <c r="C919" t="s">
        <v>267</v>
      </c>
      <c r="D919" t="s">
        <v>35</v>
      </c>
      <c r="E919" t="s">
        <v>36</v>
      </c>
      <c r="F919" t="s">
        <v>13</v>
      </c>
      <c r="G919" t="s">
        <v>25</v>
      </c>
      <c r="H919">
        <v>420</v>
      </c>
    </row>
    <row r="920" spans="1:8" x14ac:dyDescent="0.3">
      <c r="A920" t="s">
        <v>1826</v>
      </c>
      <c r="B920" t="s">
        <v>1827</v>
      </c>
      <c r="C920" t="s">
        <v>497</v>
      </c>
      <c r="D920" t="s">
        <v>18</v>
      </c>
      <c r="E920" t="s">
        <v>19</v>
      </c>
      <c r="F920" t="s">
        <v>13</v>
      </c>
      <c r="G920" t="s">
        <v>40</v>
      </c>
      <c r="H920">
        <v>116</v>
      </c>
    </row>
    <row r="921" spans="1:8" x14ac:dyDescent="0.3">
      <c r="A921" t="s">
        <v>1828</v>
      </c>
      <c r="B921" t="s">
        <v>1829</v>
      </c>
      <c r="C921" t="s">
        <v>1185</v>
      </c>
      <c r="D921" t="s">
        <v>11</v>
      </c>
      <c r="E921" t="s">
        <v>19</v>
      </c>
      <c r="F921" t="s">
        <v>13</v>
      </c>
      <c r="G921" t="s">
        <v>40</v>
      </c>
      <c r="H921">
        <v>160</v>
      </c>
    </row>
    <row r="922" spans="1:8" x14ac:dyDescent="0.3">
      <c r="A922" t="s">
        <v>1830</v>
      </c>
      <c r="B922" t="s">
        <v>1547</v>
      </c>
      <c r="C922" t="s">
        <v>411</v>
      </c>
      <c r="D922" t="s">
        <v>53</v>
      </c>
      <c r="E922" t="s">
        <v>138</v>
      </c>
      <c r="F922" t="s">
        <v>13</v>
      </c>
      <c r="G922" t="s">
        <v>25</v>
      </c>
      <c r="H922">
        <v>408</v>
      </c>
    </row>
    <row r="923" spans="1:8" x14ac:dyDescent="0.3">
      <c r="A923" t="s">
        <v>1831</v>
      </c>
      <c r="B923" t="s">
        <v>1832</v>
      </c>
      <c r="C923" t="s">
        <v>445</v>
      </c>
      <c r="D923" t="s">
        <v>18</v>
      </c>
      <c r="E923" t="s">
        <v>12</v>
      </c>
      <c r="F923" t="s">
        <v>24</v>
      </c>
      <c r="G923" t="s">
        <v>40</v>
      </c>
      <c r="H923">
        <v>399.6</v>
      </c>
    </row>
    <row r="924" spans="1:8" x14ac:dyDescent="0.3">
      <c r="A924" t="s">
        <v>1833</v>
      </c>
      <c r="B924" t="s">
        <v>163</v>
      </c>
      <c r="C924" t="s">
        <v>255</v>
      </c>
      <c r="D924" t="s">
        <v>53</v>
      </c>
      <c r="E924" t="s">
        <v>118</v>
      </c>
      <c r="F924" t="s">
        <v>13</v>
      </c>
      <c r="G924" t="s">
        <v>25</v>
      </c>
      <c r="H924">
        <v>215</v>
      </c>
    </row>
    <row r="925" spans="1:8" x14ac:dyDescent="0.3">
      <c r="A925" t="s">
        <v>1834</v>
      </c>
      <c r="B925" t="s">
        <v>1835</v>
      </c>
      <c r="C925" t="s">
        <v>856</v>
      </c>
      <c r="D925" t="s">
        <v>35</v>
      </c>
      <c r="E925" t="s">
        <v>140</v>
      </c>
      <c r="F925" t="s">
        <v>13</v>
      </c>
      <c r="G925" t="s">
        <v>65</v>
      </c>
      <c r="H925">
        <v>60</v>
      </c>
    </row>
    <row r="926" spans="1:8" x14ac:dyDescent="0.3">
      <c r="A926" t="s">
        <v>1836</v>
      </c>
      <c r="B926" t="s">
        <v>402</v>
      </c>
      <c r="C926" t="s">
        <v>396</v>
      </c>
      <c r="D926" t="s">
        <v>35</v>
      </c>
      <c r="E926" t="s">
        <v>44</v>
      </c>
      <c r="F926" t="s">
        <v>13</v>
      </c>
      <c r="G926" t="s">
        <v>40</v>
      </c>
      <c r="H926">
        <v>460</v>
      </c>
    </row>
    <row r="927" spans="1:8" x14ac:dyDescent="0.3">
      <c r="A927" t="s">
        <v>1837</v>
      </c>
      <c r="B927" t="s">
        <v>1838</v>
      </c>
      <c r="C927" t="s">
        <v>363</v>
      </c>
      <c r="D927" t="s">
        <v>29</v>
      </c>
      <c r="E927" t="s">
        <v>1103</v>
      </c>
      <c r="F927" t="s">
        <v>13</v>
      </c>
      <c r="G927" t="s">
        <v>65</v>
      </c>
      <c r="H927">
        <v>120</v>
      </c>
    </row>
    <row r="928" spans="1:8" x14ac:dyDescent="0.3">
      <c r="A928" t="s">
        <v>31</v>
      </c>
      <c r="B928" t="s">
        <v>735</v>
      </c>
      <c r="C928" t="s">
        <v>147</v>
      </c>
      <c r="D928" t="s">
        <v>18</v>
      </c>
      <c r="E928" t="s">
        <v>23</v>
      </c>
      <c r="F928" t="s">
        <v>54</v>
      </c>
      <c r="G928" t="s">
        <v>25</v>
      </c>
      <c r="H928">
        <v>538.04999999999995</v>
      </c>
    </row>
    <row r="929" spans="1:8" x14ac:dyDescent="0.3">
      <c r="A929" t="s">
        <v>1839</v>
      </c>
      <c r="B929" t="s">
        <v>1419</v>
      </c>
      <c r="C929" t="s">
        <v>22</v>
      </c>
      <c r="D929" t="s">
        <v>35</v>
      </c>
      <c r="E929" t="s">
        <v>140</v>
      </c>
      <c r="F929" t="s">
        <v>13</v>
      </c>
      <c r="G929" t="s">
        <v>65</v>
      </c>
      <c r="H929">
        <v>165</v>
      </c>
    </row>
    <row r="930" spans="1:8" x14ac:dyDescent="0.3">
      <c r="A930" t="s">
        <v>1840</v>
      </c>
      <c r="B930" t="s">
        <v>1841</v>
      </c>
      <c r="C930" t="s">
        <v>706</v>
      </c>
      <c r="D930" t="s">
        <v>18</v>
      </c>
      <c r="E930" t="s">
        <v>19</v>
      </c>
      <c r="F930" t="s">
        <v>54</v>
      </c>
      <c r="G930" t="s">
        <v>14</v>
      </c>
      <c r="H930">
        <v>119</v>
      </c>
    </row>
    <row r="931" spans="1:8" x14ac:dyDescent="0.3">
      <c r="A931" t="s">
        <v>1842</v>
      </c>
      <c r="B931" t="s">
        <v>1843</v>
      </c>
      <c r="C931" t="s">
        <v>10</v>
      </c>
      <c r="D931" t="s">
        <v>53</v>
      </c>
      <c r="E931" t="s">
        <v>104</v>
      </c>
      <c r="F931" t="s">
        <v>13</v>
      </c>
      <c r="G931" t="s">
        <v>14</v>
      </c>
      <c r="H931">
        <v>650</v>
      </c>
    </row>
    <row r="932" spans="1:8" x14ac:dyDescent="0.3">
      <c r="A932" t="s">
        <v>1844</v>
      </c>
      <c r="B932" t="s">
        <v>1845</v>
      </c>
      <c r="C932" t="s">
        <v>681</v>
      </c>
      <c r="D932" t="s">
        <v>35</v>
      </c>
      <c r="E932" t="s">
        <v>340</v>
      </c>
      <c r="F932" t="s">
        <v>13</v>
      </c>
      <c r="G932" t="s">
        <v>65</v>
      </c>
      <c r="H932">
        <v>195</v>
      </c>
    </row>
    <row r="933" spans="1:8" x14ac:dyDescent="0.3">
      <c r="A933" t="s">
        <v>1846</v>
      </c>
      <c r="B933" t="s">
        <v>1847</v>
      </c>
      <c r="C933" t="s">
        <v>196</v>
      </c>
      <c r="D933" t="s">
        <v>35</v>
      </c>
      <c r="E933" t="s">
        <v>340</v>
      </c>
      <c r="F933" t="s">
        <v>13</v>
      </c>
      <c r="G933" t="s">
        <v>14</v>
      </c>
      <c r="H933" t="s">
        <v>45</v>
      </c>
    </row>
    <row r="934" spans="1:8" x14ac:dyDescent="0.3">
      <c r="A934" t="s">
        <v>1848</v>
      </c>
      <c r="B934" t="s">
        <v>1849</v>
      </c>
      <c r="C934" t="s">
        <v>371</v>
      </c>
      <c r="D934" t="s">
        <v>18</v>
      </c>
      <c r="E934" t="s">
        <v>87</v>
      </c>
      <c r="F934" t="s">
        <v>13</v>
      </c>
      <c r="G934" t="s">
        <v>65</v>
      </c>
      <c r="H934">
        <v>750</v>
      </c>
    </row>
    <row r="935" spans="1:8" x14ac:dyDescent="0.3">
      <c r="A935" t="s">
        <v>1848</v>
      </c>
      <c r="B935" t="s">
        <v>1849</v>
      </c>
      <c r="C935" t="s">
        <v>371</v>
      </c>
      <c r="D935" t="s">
        <v>18</v>
      </c>
      <c r="E935" t="s">
        <v>87</v>
      </c>
      <c r="F935" t="s">
        <v>13</v>
      </c>
      <c r="G935" t="s">
        <v>65</v>
      </c>
      <c r="H935">
        <v>750</v>
      </c>
    </row>
    <row r="936" spans="1:8" x14ac:dyDescent="0.3">
      <c r="A936" t="s">
        <v>1850</v>
      </c>
      <c r="B936" t="s">
        <v>1832</v>
      </c>
      <c r="C936" t="s">
        <v>267</v>
      </c>
      <c r="D936" t="s">
        <v>53</v>
      </c>
      <c r="E936" t="s">
        <v>76</v>
      </c>
      <c r="F936" t="s">
        <v>13</v>
      </c>
      <c r="G936" t="s">
        <v>65</v>
      </c>
      <c r="H936">
        <v>622</v>
      </c>
    </row>
    <row r="937" spans="1:8" x14ac:dyDescent="0.3">
      <c r="A937" t="s">
        <v>1851</v>
      </c>
      <c r="B937" t="s">
        <v>1852</v>
      </c>
      <c r="C937" t="s">
        <v>1096</v>
      </c>
      <c r="D937" t="s">
        <v>18</v>
      </c>
      <c r="E937" t="s">
        <v>19</v>
      </c>
      <c r="F937" t="s">
        <v>13</v>
      </c>
      <c r="G937" t="s">
        <v>25</v>
      </c>
      <c r="H937">
        <v>143</v>
      </c>
    </row>
    <row r="938" spans="1:8" x14ac:dyDescent="0.3">
      <c r="A938" t="s">
        <v>1853</v>
      </c>
      <c r="B938" t="s">
        <v>1854</v>
      </c>
      <c r="C938" t="s">
        <v>881</v>
      </c>
      <c r="D938" t="s">
        <v>53</v>
      </c>
      <c r="E938" t="s">
        <v>138</v>
      </c>
      <c r="F938" t="s">
        <v>64</v>
      </c>
      <c r="G938" t="s">
        <v>65</v>
      </c>
      <c r="H938">
        <v>664</v>
      </c>
    </row>
    <row r="939" spans="1:8" x14ac:dyDescent="0.3">
      <c r="A939" t="s">
        <v>1855</v>
      </c>
      <c r="B939" t="s">
        <v>1856</v>
      </c>
      <c r="C939" t="s">
        <v>186</v>
      </c>
      <c r="D939" t="s">
        <v>35</v>
      </c>
      <c r="E939" t="s">
        <v>36</v>
      </c>
      <c r="F939" t="s">
        <v>13</v>
      </c>
      <c r="G939" t="s">
        <v>65</v>
      </c>
      <c r="H939">
        <v>325</v>
      </c>
    </row>
    <row r="940" spans="1:8" x14ac:dyDescent="0.3">
      <c r="A940" t="s">
        <v>1857</v>
      </c>
      <c r="B940" t="s">
        <v>1469</v>
      </c>
      <c r="C940" t="s">
        <v>1105</v>
      </c>
      <c r="D940" t="s">
        <v>18</v>
      </c>
      <c r="E940" t="s">
        <v>295</v>
      </c>
      <c r="F940" t="s">
        <v>13</v>
      </c>
      <c r="G940" t="s">
        <v>40</v>
      </c>
      <c r="H940" t="s">
        <v>45</v>
      </c>
    </row>
    <row r="941" spans="1:8" x14ac:dyDescent="0.3">
      <c r="A941" t="s">
        <v>1858</v>
      </c>
      <c r="B941" t="s">
        <v>1859</v>
      </c>
      <c r="C941" t="s">
        <v>131</v>
      </c>
      <c r="D941" t="s">
        <v>29</v>
      </c>
      <c r="E941" t="s">
        <v>168</v>
      </c>
      <c r="F941" t="s">
        <v>158</v>
      </c>
      <c r="G941" t="s">
        <v>14</v>
      </c>
      <c r="H941">
        <v>199.5</v>
      </c>
    </row>
    <row r="942" spans="1:8" x14ac:dyDescent="0.3">
      <c r="A942" t="s">
        <v>1860</v>
      </c>
      <c r="B942" t="s">
        <v>1838</v>
      </c>
      <c r="C942" t="s">
        <v>267</v>
      </c>
      <c r="D942" t="s">
        <v>35</v>
      </c>
      <c r="E942" t="s">
        <v>31</v>
      </c>
      <c r="F942" t="s">
        <v>13</v>
      </c>
      <c r="G942" t="s">
        <v>25</v>
      </c>
      <c r="H942">
        <v>80</v>
      </c>
    </row>
    <row r="943" spans="1:8" x14ac:dyDescent="0.3">
      <c r="A943" t="s">
        <v>1861</v>
      </c>
      <c r="B943" t="s">
        <v>484</v>
      </c>
      <c r="C943" t="s">
        <v>258</v>
      </c>
      <c r="D943" t="s">
        <v>35</v>
      </c>
      <c r="E943" t="s">
        <v>140</v>
      </c>
      <c r="F943" t="s">
        <v>13</v>
      </c>
      <c r="G943" t="s">
        <v>25</v>
      </c>
      <c r="H943">
        <v>569</v>
      </c>
    </row>
    <row r="944" spans="1:8" x14ac:dyDescent="0.3">
      <c r="A944" t="s">
        <v>1862</v>
      </c>
      <c r="B944" t="s">
        <v>1863</v>
      </c>
      <c r="C944" t="s">
        <v>1864</v>
      </c>
      <c r="D944" t="s">
        <v>18</v>
      </c>
      <c r="E944" t="s">
        <v>19</v>
      </c>
      <c r="F944" t="s">
        <v>158</v>
      </c>
      <c r="G944" t="s">
        <v>65</v>
      </c>
      <c r="H944">
        <v>285</v>
      </c>
    </row>
    <row r="945" spans="1:8" x14ac:dyDescent="0.3">
      <c r="A945" t="s">
        <v>1865</v>
      </c>
      <c r="B945" t="s">
        <v>1037</v>
      </c>
      <c r="C945" t="s">
        <v>1164</v>
      </c>
      <c r="D945" t="s">
        <v>53</v>
      </c>
      <c r="E945" t="s">
        <v>118</v>
      </c>
      <c r="F945" t="s">
        <v>13</v>
      </c>
      <c r="G945" t="s">
        <v>65</v>
      </c>
      <c r="H945">
        <v>195</v>
      </c>
    </row>
    <row r="946" spans="1:8" x14ac:dyDescent="0.3">
      <c r="A946" t="s">
        <v>1865</v>
      </c>
      <c r="B946" t="s">
        <v>1037</v>
      </c>
      <c r="C946" t="s">
        <v>1164</v>
      </c>
      <c r="D946" t="s">
        <v>53</v>
      </c>
      <c r="E946" t="s">
        <v>118</v>
      </c>
      <c r="F946" t="s">
        <v>13</v>
      </c>
      <c r="G946" t="s">
        <v>65</v>
      </c>
      <c r="H946">
        <v>195</v>
      </c>
    </row>
    <row r="947" spans="1:8" x14ac:dyDescent="0.3">
      <c r="A947" t="s">
        <v>1866</v>
      </c>
      <c r="B947" t="s">
        <v>1867</v>
      </c>
      <c r="C947" t="s">
        <v>1242</v>
      </c>
      <c r="D947" t="s">
        <v>53</v>
      </c>
      <c r="E947" t="s">
        <v>138</v>
      </c>
      <c r="F947" t="s">
        <v>13</v>
      </c>
      <c r="G947" t="s">
        <v>14</v>
      </c>
      <c r="H947" t="s">
        <v>45</v>
      </c>
    </row>
    <row r="948" spans="1:8" x14ac:dyDescent="0.3">
      <c r="A948" t="s">
        <v>1868</v>
      </c>
      <c r="B948" t="s">
        <v>926</v>
      </c>
      <c r="C948" t="s">
        <v>594</v>
      </c>
      <c r="D948" t="s">
        <v>29</v>
      </c>
      <c r="E948" t="s">
        <v>123</v>
      </c>
      <c r="F948" t="s">
        <v>13</v>
      </c>
      <c r="G948" t="s">
        <v>65</v>
      </c>
      <c r="H948" t="s">
        <v>45</v>
      </c>
    </row>
    <row r="949" spans="1:8" x14ac:dyDescent="0.3">
      <c r="A949" t="s">
        <v>1869</v>
      </c>
      <c r="B949" t="s">
        <v>1870</v>
      </c>
      <c r="C949" t="s">
        <v>282</v>
      </c>
      <c r="D949" t="s">
        <v>53</v>
      </c>
      <c r="E949" t="s">
        <v>138</v>
      </c>
      <c r="F949" t="s">
        <v>13</v>
      </c>
      <c r="G949" t="s">
        <v>144</v>
      </c>
      <c r="H949">
        <v>390</v>
      </c>
    </row>
    <row r="950" spans="1:8" x14ac:dyDescent="0.3">
      <c r="A950" t="s">
        <v>1871</v>
      </c>
      <c r="B950" t="s">
        <v>1872</v>
      </c>
      <c r="C950" t="s">
        <v>411</v>
      </c>
      <c r="D950" t="s">
        <v>35</v>
      </c>
      <c r="E950" t="s">
        <v>140</v>
      </c>
      <c r="F950" t="s">
        <v>13</v>
      </c>
      <c r="G950" t="s">
        <v>40</v>
      </c>
      <c r="H950">
        <v>295</v>
      </c>
    </row>
    <row r="951" spans="1:8" x14ac:dyDescent="0.3">
      <c r="A951" t="s">
        <v>1873</v>
      </c>
      <c r="B951" t="s">
        <v>1874</v>
      </c>
      <c r="C951" t="s">
        <v>346</v>
      </c>
      <c r="D951" t="s">
        <v>18</v>
      </c>
      <c r="E951" t="s">
        <v>19</v>
      </c>
      <c r="F951" t="s">
        <v>13</v>
      </c>
      <c r="G951" t="s">
        <v>65</v>
      </c>
      <c r="H951">
        <v>205</v>
      </c>
    </row>
    <row r="952" spans="1:8" x14ac:dyDescent="0.3">
      <c r="A952" t="s">
        <v>1875</v>
      </c>
      <c r="B952" t="s">
        <v>1107</v>
      </c>
      <c r="C952" t="s">
        <v>122</v>
      </c>
      <c r="D952" t="s">
        <v>35</v>
      </c>
      <c r="E952" t="s">
        <v>340</v>
      </c>
      <c r="F952" t="s">
        <v>24</v>
      </c>
      <c r="G952" t="s">
        <v>25</v>
      </c>
      <c r="H952">
        <v>387</v>
      </c>
    </row>
    <row r="953" spans="1:8" x14ac:dyDescent="0.3">
      <c r="A953" t="s">
        <v>1876</v>
      </c>
      <c r="B953" t="s">
        <v>1877</v>
      </c>
      <c r="C953" t="s">
        <v>152</v>
      </c>
      <c r="D953" t="s">
        <v>18</v>
      </c>
      <c r="E953" t="s">
        <v>23</v>
      </c>
      <c r="F953" t="s">
        <v>13</v>
      </c>
      <c r="G953" t="s">
        <v>14</v>
      </c>
      <c r="H953">
        <v>170</v>
      </c>
    </row>
    <row r="954" spans="1:8" x14ac:dyDescent="0.3">
      <c r="A954" t="s">
        <v>1878</v>
      </c>
      <c r="B954" t="s">
        <v>1053</v>
      </c>
      <c r="C954" t="s">
        <v>1470</v>
      </c>
      <c r="D954" t="s">
        <v>29</v>
      </c>
      <c r="E954" t="s">
        <v>49</v>
      </c>
      <c r="F954" t="s">
        <v>158</v>
      </c>
      <c r="G954" t="s">
        <v>507</v>
      </c>
      <c r="H954">
        <v>110.2</v>
      </c>
    </row>
    <row r="955" spans="1:8" x14ac:dyDescent="0.3">
      <c r="A955" t="s">
        <v>1879</v>
      </c>
      <c r="B955" t="s">
        <v>1880</v>
      </c>
      <c r="C955" t="s">
        <v>697</v>
      </c>
      <c r="D955" t="s">
        <v>35</v>
      </c>
      <c r="E955" t="s">
        <v>140</v>
      </c>
      <c r="F955" t="s">
        <v>54</v>
      </c>
      <c r="G955" t="s">
        <v>40</v>
      </c>
      <c r="H955">
        <v>178.5</v>
      </c>
    </row>
    <row r="956" spans="1:8" x14ac:dyDescent="0.3">
      <c r="A956" t="s">
        <v>1881</v>
      </c>
      <c r="B956" t="s">
        <v>861</v>
      </c>
      <c r="C956" t="s">
        <v>111</v>
      </c>
      <c r="D956" t="s">
        <v>53</v>
      </c>
      <c r="E956" t="s">
        <v>76</v>
      </c>
      <c r="F956" t="s">
        <v>13</v>
      </c>
      <c r="G956" t="s">
        <v>25</v>
      </c>
      <c r="H956">
        <v>644</v>
      </c>
    </row>
    <row r="957" spans="1:8" x14ac:dyDescent="0.3">
      <c r="A957" t="s">
        <v>1882</v>
      </c>
      <c r="B957" t="s">
        <v>1883</v>
      </c>
      <c r="C957" t="s">
        <v>1185</v>
      </c>
      <c r="D957" t="s">
        <v>29</v>
      </c>
      <c r="E957" t="s">
        <v>123</v>
      </c>
      <c r="F957" t="s">
        <v>13</v>
      </c>
      <c r="G957" t="s">
        <v>31</v>
      </c>
      <c r="H957">
        <v>285</v>
      </c>
    </row>
    <row r="958" spans="1:8" x14ac:dyDescent="0.3">
      <c r="A958" t="s">
        <v>1882</v>
      </c>
      <c r="B958" t="s">
        <v>1883</v>
      </c>
      <c r="C958" t="s">
        <v>1185</v>
      </c>
      <c r="D958" t="s">
        <v>29</v>
      </c>
      <c r="E958" t="s">
        <v>123</v>
      </c>
      <c r="F958" t="s">
        <v>13</v>
      </c>
      <c r="G958" t="s">
        <v>14</v>
      </c>
      <c r="H958">
        <v>285</v>
      </c>
    </row>
    <row r="959" spans="1:8" x14ac:dyDescent="0.3">
      <c r="A959" t="s">
        <v>1884</v>
      </c>
      <c r="B959" t="s">
        <v>1331</v>
      </c>
      <c r="C959" t="s">
        <v>1885</v>
      </c>
      <c r="D959" t="s">
        <v>53</v>
      </c>
      <c r="E959" t="s">
        <v>83</v>
      </c>
      <c r="F959" t="s">
        <v>13</v>
      </c>
      <c r="G959" t="s">
        <v>40</v>
      </c>
      <c r="H959">
        <v>240</v>
      </c>
    </row>
    <row r="960" spans="1:8" x14ac:dyDescent="0.3">
      <c r="A960" t="s">
        <v>1884</v>
      </c>
      <c r="B960" t="s">
        <v>1331</v>
      </c>
      <c r="C960" t="s">
        <v>161</v>
      </c>
      <c r="D960" t="s">
        <v>53</v>
      </c>
      <c r="E960" t="s">
        <v>83</v>
      </c>
      <c r="F960" t="s">
        <v>13</v>
      </c>
      <c r="G960" t="s">
        <v>40</v>
      </c>
      <c r="H960">
        <v>240</v>
      </c>
    </row>
    <row r="961" spans="1:8" x14ac:dyDescent="0.3">
      <c r="A961" t="s">
        <v>1886</v>
      </c>
      <c r="B961" t="s">
        <v>1887</v>
      </c>
      <c r="C961" t="s">
        <v>203</v>
      </c>
      <c r="D961" t="s">
        <v>29</v>
      </c>
      <c r="E961" t="s">
        <v>30</v>
      </c>
      <c r="F961" t="s">
        <v>13</v>
      </c>
      <c r="G961" t="s">
        <v>65</v>
      </c>
      <c r="H961">
        <v>366</v>
      </c>
    </row>
    <row r="962" spans="1:8" x14ac:dyDescent="0.3">
      <c r="A962" t="s">
        <v>1888</v>
      </c>
      <c r="B962" t="s">
        <v>1889</v>
      </c>
      <c r="C962" t="s">
        <v>264</v>
      </c>
      <c r="D962" t="s">
        <v>53</v>
      </c>
      <c r="E962" t="s">
        <v>83</v>
      </c>
      <c r="F962" t="s">
        <v>24</v>
      </c>
      <c r="G962" t="s">
        <v>40</v>
      </c>
      <c r="H962">
        <v>651.6</v>
      </c>
    </row>
    <row r="963" spans="1:8" x14ac:dyDescent="0.3">
      <c r="A963" t="s">
        <v>1890</v>
      </c>
      <c r="B963" t="s">
        <v>45</v>
      </c>
      <c r="C963" t="s">
        <v>282</v>
      </c>
      <c r="D963" t="s">
        <v>53</v>
      </c>
      <c r="E963" t="s">
        <v>31</v>
      </c>
      <c r="F963" t="s">
        <v>13</v>
      </c>
      <c r="G963" t="s">
        <v>25</v>
      </c>
      <c r="H963">
        <v>259</v>
      </c>
    </row>
    <row r="964" spans="1:8" x14ac:dyDescent="0.3">
      <c r="A964" t="s">
        <v>1891</v>
      </c>
      <c r="B964" t="s">
        <v>886</v>
      </c>
      <c r="C964" t="s">
        <v>851</v>
      </c>
      <c r="D964" t="s">
        <v>29</v>
      </c>
      <c r="E964" t="s">
        <v>168</v>
      </c>
      <c r="F964" t="s">
        <v>13</v>
      </c>
      <c r="G964" t="s">
        <v>14</v>
      </c>
      <c r="H964">
        <v>180</v>
      </c>
    </row>
    <row r="965" spans="1:8" x14ac:dyDescent="0.3">
      <c r="A965" t="s">
        <v>1892</v>
      </c>
      <c r="B965" t="s">
        <v>1893</v>
      </c>
      <c r="C965" t="s">
        <v>658</v>
      </c>
      <c r="D965" t="s">
        <v>29</v>
      </c>
      <c r="E965" t="s">
        <v>49</v>
      </c>
      <c r="F965" t="s">
        <v>13</v>
      </c>
      <c r="G965" t="s">
        <v>25</v>
      </c>
      <c r="H965">
        <v>230</v>
      </c>
    </row>
    <row r="966" spans="1:8" x14ac:dyDescent="0.3">
      <c r="A966" t="s">
        <v>1894</v>
      </c>
      <c r="B966" t="s">
        <v>405</v>
      </c>
      <c r="C966" t="s">
        <v>75</v>
      </c>
      <c r="D966" t="s">
        <v>18</v>
      </c>
      <c r="E966" t="s">
        <v>87</v>
      </c>
      <c r="F966" t="s">
        <v>13</v>
      </c>
      <c r="G966" t="s">
        <v>40</v>
      </c>
      <c r="H966">
        <v>348</v>
      </c>
    </row>
    <row r="967" spans="1:8" x14ac:dyDescent="0.3">
      <c r="A967" t="s">
        <v>1895</v>
      </c>
      <c r="B967" t="s">
        <v>832</v>
      </c>
      <c r="C967" t="s">
        <v>371</v>
      </c>
      <c r="D967" t="s">
        <v>35</v>
      </c>
      <c r="E967" t="s">
        <v>72</v>
      </c>
      <c r="F967" t="s">
        <v>13</v>
      </c>
      <c r="G967" t="s">
        <v>40</v>
      </c>
      <c r="H967">
        <v>518</v>
      </c>
    </row>
    <row r="968" spans="1:8" x14ac:dyDescent="0.3">
      <c r="A968" t="s">
        <v>1896</v>
      </c>
      <c r="B968" t="s">
        <v>1897</v>
      </c>
      <c r="C968" t="s">
        <v>147</v>
      </c>
      <c r="D968" t="s">
        <v>35</v>
      </c>
      <c r="E968" t="s">
        <v>36</v>
      </c>
      <c r="F968" t="s">
        <v>13</v>
      </c>
      <c r="G968" t="s">
        <v>14</v>
      </c>
      <c r="H968" t="s">
        <v>45</v>
      </c>
    </row>
    <row r="969" spans="1:8" x14ac:dyDescent="0.3">
      <c r="A969" t="s">
        <v>1898</v>
      </c>
      <c r="B969" t="s">
        <v>324</v>
      </c>
      <c r="C969" t="s">
        <v>587</v>
      </c>
      <c r="D969" t="s">
        <v>18</v>
      </c>
      <c r="E969" t="s">
        <v>87</v>
      </c>
      <c r="F969" t="s">
        <v>13</v>
      </c>
      <c r="G969" t="s">
        <v>65</v>
      </c>
      <c r="H969">
        <v>590</v>
      </c>
    </row>
    <row r="970" spans="1:8" x14ac:dyDescent="0.3">
      <c r="A970" t="s">
        <v>1899</v>
      </c>
      <c r="B970" t="s">
        <v>1900</v>
      </c>
      <c r="C970" t="s">
        <v>736</v>
      </c>
      <c r="D970" t="s">
        <v>18</v>
      </c>
      <c r="E970" t="s">
        <v>295</v>
      </c>
      <c r="F970" t="s">
        <v>13</v>
      </c>
      <c r="G970" t="s">
        <v>40</v>
      </c>
      <c r="H970">
        <v>193</v>
      </c>
    </row>
    <row r="971" spans="1:8" x14ac:dyDescent="0.3">
      <c r="A971" t="s">
        <v>1901</v>
      </c>
      <c r="B971" t="s">
        <v>1902</v>
      </c>
      <c r="C971" t="s">
        <v>497</v>
      </c>
      <c r="D971" t="s">
        <v>246</v>
      </c>
      <c r="E971" t="s">
        <v>140</v>
      </c>
      <c r="F971" t="s">
        <v>13</v>
      </c>
      <c r="G971" t="s">
        <v>40</v>
      </c>
      <c r="H971">
        <v>295</v>
      </c>
    </row>
    <row r="972" spans="1:8" x14ac:dyDescent="0.3">
      <c r="A972" t="s">
        <v>1903</v>
      </c>
      <c r="B972" t="s">
        <v>1681</v>
      </c>
      <c r="C972" t="s">
        <v>988</v>
      </c>
      <c r="D972" t="s">
        <v>18</v>
      </c>
      <c r="E972" t="s">
        <v>295</v>
      </c>
      <c r="F972" t="s">
        <v>13</v>
      </c>
      <c r="G972" t="s">
        <v>65</v>
      </c>
      <c r="H972">
        <v>180</v>
      </c>
    </row>
    <row r="973" spans="1:8" x14ac:dyDescent="0.3">
      <c r="A973" t="s">
        <v>1904</v>
      </c>
      <c r="B973" t="s">
        <v>31</v>
      </c>
      <c r="C973" t="s">
        <v>644</v>
      </c>
      <c r="D973" t="s">
        <v>35</v>
      </c>
      <c r="E973" t="s">
        <v>72</v>
      </c>
      <c r="F973" t="s">
        <v>13</v>
      </c>
      <c r="G973" t="s">
        <v>14</v>
      </c>
      <c r="H973">
        <v>463</v>
      </c>
    </row>
    <row r="974" spans="1:8" x14ac:dyDescent="0.3">
      <c r="A974" t="s">
        <v>1905</v>
      </c>
      <c r="B974" t="s">
        <v>867</v>
      </c>
      <c r="C974" t="s">
        <v>1191</v>
      </c>
      <c r="D974" t="s">
        <v>18</v>
      </c>
      <c r="E974" t="s">
        <v>295</v>
      </c>
      <c r="F974" t="s">
        <v>13</v>
      </c>
      <c r="G974" t="s">
        <v>14</v>
      </c>
      <c r="H974">
        <v>120</v>
      </c>
    </row>
    <row r="975" spans="1:8" x14ac:dyDescent="0.3">
      <c r="A975" t="s">
        <v>1906</v>
      </c>
      <c r="B975" t="s">
        <v>1907</v>
      </c>
      <c r="C975" t="s">
        <v>316</v>
      </c>
      <c r="D975" t="s">
        <v>29</v>
      </c>
      <c r="E975" t="s">
        <v>49</v>
      </c>
      <c r="F975" t="s">
        <v>13</v>
      </c>
      <c r="G975" t="s">
        <v>25</v>
      </c>
      <c r="H975">
        <v>50</v>
      </c>
    </row>
    <row r="976" spans="1:8" x14ac:dyDescent="0.3">
      <c r="A976" t="s">
        <v>1908</v>
      </c>
      <c r="B976" t="s">
        <v>1909</v>
      </c>
      <c r="C976" t="s">
        <v>425</v>
      </c>
      <c r="D976" t="s">
        <v>35</v>
      </c>
      <c r="E976" t="s">
        <v>36</v>
      </c>
      <c r="F976" t="s">
        <v>13</v>
      </c>
      <c r="G976" t="s">
        <v>14</v>
      </c>
      <c r="H976">
        <v>120</v>
      </c>
    </row>
    <row r="977" spans="1:8" x14ac:dyDescent="0.3">
      <c r="A977" t="s">
        <v>1910</v>
      </c>
      <c r="B977" t="s">
        <v>1109</v>
      </c>
      <c r="C977" t="s">
        <v>152</v>
      </c>
      <c r="D977" t="s">
        <v>35</v>
      </c>
      <c r="E977" t="s">
        <v>36</v>
      </c>
      <c r="F977" t="s">
        <v>54</v>
      </c>
      <c r="G977" t="s">
        <v>65</v>
      </c>
      <c r="H977">
        <v>548.25</v>
      </c>
    </row>
    <row r="978" spans="1:8" x14ac:dyDescent="0.3">
      <c r="A978" t="s">
        <v>1911</v>
      </c>
      <c r="B978" t="s">
        <v>59</v>
      </c>
      <c r="C978" t="s">
        <v>520</v>
      </c>
      <c r="D978" t="s">
        <v>35</v>
      </c>
      <c r="E978" t="s">
        <v>72</v>
      </c>
      <c r="F978" t="s">
        <v>13</v>
      </c>
      <c r="G978" t="s">
        <v>14</v>
      </c>
      <c r="H978">
        <v>700</v>
      </c>
    </row>
    <row r="979" spans="1:8" x14ac:dyDescent="0.3">
      <c r="A979" t="s">
        <v>1912</v>
      </c>
      <c r="B979" t="s">
        <v>911</v>
      </c>
      <c r="C979" t="s">
        <v>233</v>
      </c>
      <c r="D979" t="s">
        <v>35</v>
      </c>
      <c r="E979" t="s">
        <v>72</v>
      </c>
      <c r="F979" t="s">
        <v>13</v>
      </c>
      <c r="G979" t="s">
        <v>65</v>
      </c>
      <c r="H979">
        <v>380</v>
      </c>
    </row>
    <row r="980" spans="1:8" x14ac:dyDescent="0.3">
      <c r="A980" t="s">
        <v>1913</v>
      </c>
      <c r="B980" t="s">
        <v>1914</v>
      </c>
      <c r="C980" t="s">
        <v>491</v>
      </c>
      <c r="D980" t="s">
        <v>29</v>
      </c>
      <c r="E980" t="s">
        <v>123</v>
      </c>
      <c r="F980" t="s">
        <v>13</v>
      </c>
      <c r="G980" t="s">
        <v>40</v>
      </c>
      <c r="H980">
        <v>320</v>
      </c>
    </row>
    <row r="981" spans="1:8" x14ac:dyDescent="0.3">
      <c r="A981" t="s">
        <v>1915</v>
      </c>
      <c r="B981" t="s">
        <v>1916</v>
      </c>
      <c r="C981" t="s">
        <v>396</v>
      </c>
      <c r="D981" t="s">
        <v>35</v>
      </c>
      <c r="E981" t="s">
        <v>44</v>
      </c>
      <c r="F981" t="s">
        <v>13</v>
      </c>
      <c r="G981" t="s">
        <v>65</v>
      </c>
      <c r="H981">
        <v>300</v>
      </c>
    </row>
    <row r="982" spans="1:8" x14ac:dyDescent="0.3">
      <c r="A982" t="s">
        <v>1917</v>
      </c>
      <c r="B982" t="s">
        <v>1918</v>
      </c>
      <c r="C982" t="s">
        <v>103</v>
      </c>
      <c r="D982" t="s">
        <v>53</v>
      </c>
      <c r="E982" t="s">
        <v>138</v>
      </c>
      <c r="F982" t="s">
        <v>13</v>
      </c>
      <c r="G982" t="s">
        <v>25</v>
      </c>
      <c r="H982">
        <v>255</v>
      </c>
    </row>
    <row r="983" spans="1:8" x14ac:dyDescent="0.3">
      <c r="A983" t="s">
        <v>1919</v>
      </c>
      <c r="B983" t="s">
        <v>1920</v>
      </c>
      <c r="C983" t="s">
        <v>63</v>
      </c>
      <c r="D983" t="s">
        <v>35</v>
      </c>
      <c r="E983" t="s">
        <v>140</v>
      </c>
      <c r="F983" t="s">
        <v>13</v>
      </c>
      <c r="G983" t="s">
        <v>25</v>
      </c>
      <c r="H983">
        <v>100</v>
      </c>
    </row>
    <row r="984" spans="1:8" x14ac:dyDescent="0.3">
      <c r="A984" t="s">
        <v>1921</v>
      </c>
      <c r="B984" t="s">
        <v>1922</v>
      </c>
      <c r="C984" t="s">
        <v>238</v>
      </c>
      <c r="D984" t="s">
        <v>31</v>
      </c>
      <c r="E984" t="s">
        <v>12</v>
      </c>
      <c r="F984" t="s">
        <v>13</v>
      </c>
      <c r="G984" t="s">
        <v>25</v>
      </c>
      <c r="H984">
        <v>313</v>
      </c>
    </row>
    <row r="985" spans="1:8" x14ac:dyDescent="0.3">
      <c r="A985" t="s">
        <v>1921</v>
      </c>
      <c r="B985" t="s">
        <v>1922</v>
      </c>
      <c r="C985" t="s">
        <v>238</v>
      </c>
      <c r="D985" t="s">
        <v>18</v>
      </c>
      <c r="E985" t="s">
        <v>12</v>
      </c>
      <c r="F985" t="s">
        <v>13</v>
      </c>
      <c r="G985" t="s">
        <v>25</v>
      </c>
      <c r="H985">
        <v>313</v>
      </c>
    </row>
    <row r="986" spans="1:8" x14ac:dyDescent="0.3">
      <c r="A986" t="s">
        <v>1923</v>
      </c>
      <c r="B986" t="s">
        <v>1924</v>
      </c>
      <c r="C986" t="s">
        <v>1164</v>
      </c>
      <c r="D986" t="s">
        <v>29</v>
      </c>
      <c r="E986" t="s">
        <v>1245</v>
      </c>
      <c r="F986" t="s">
        <v>13</v>
      </c>
      <c r="G986" t="s">
        <v>119</v>
      </c>
      <c r="H986">
        <v>794</v>
      </c>
    </row>
    <row r="987" spans="1:8" x14ac:dyDescent="0.3">
      <c r="A987" t="s">
        <v>1925</v>
      </c>
      <c r="B987" t="s">
        <v>735</v>
      </c>
      <c r="C987" t="s">
        <v>330</v>
      </c>
      <c r="D987" t="s">
        <v>29</v>
      </c>
      <c r="E987" t="s">
        <v>49</v>
      </c>
      <c r="F987" t="s">
        <v>54</v>
      </c>
      <c r="G987" t="s">
        <v>25</v>
      </c>
      <c r="H987">
        <v>310.25</v>
      </c>
    </row>
    <row r="988" spans="1:8" x14ac:dyDescent="0.3">
      <c r="A988" t="s">
        <v>1926</v>
      </c>
      <c r="B988" t="s">
        <v>1927</v>
      </c>
      <c r="C988" t="s">
        <v>371</v>
      </c>
      <c r="D988" t="s">
        <v>35</v>
      </c>
      <c r="E988" t="s">
        <v>44</v>
      </c>
      <c r="F988" t="s">
        <v>13</v>
      </c>
      <c r="G988" t="s">
        <v>65</v>
      </c>
      <c r="H988">
        <v>310</v>
      </c>
    </row>
    <row r="989" spans="1:8" x14ac:dyDescent="0.3">
      <c r="A989" t="s">
        <v>1928</v>
      </c>
      <c r="B989" t="s">
        <v>1008</v>
      </c>
      <c r="C989" t="s">
        <v>196</v>
      </c>
      <c r="D989" t="s">
        <v>53</v>
      </c>
      <c r="E989" t="s">
        <v>76</v>
      </c>
      <c r="F989" t="s">
        <v>13</v>
      </c>
      <c r="G989" t="s">
        <v>25</v>
      </c>
      <c r="H989">
        <v>551</v>
      </c>
    </row>
    <row r="990" spans="1:8" x14ac:dyDescent="0.3">
      <c r="A990" t="s">
        <v>1929</v>
      </c>
      <c r="B990" t="s">
        <v>683</v>
      </c>
      <c r="C990" t="s">
        <v>71</v>
      </c>
      <c r="D990" t="s">
        <v>35</v>
      </c>
      <c r="E990" t="s">
        <v>72</v>
      </c>
      <c r="F990" t="s">
        <v>13</v>
      </c>
      <c r="G990" t="s">
        <v>45</v>
      </c>
      <c r="H990">
        <v>600</v>
      </c>
    </row>
    <row r="991" spans="1:8" x14ac:dyDescent="0.3">
      <c r="A991" t="s">
        <v>1930</v>
      </c>
      <c r="B991" t="s">
        <v>1931</v>
      </c>
      <c r="C991" t="s">
        <v>736</v>
      </c>
      <c r="D991" t="s">
        <v>18</v>
      </c>
      <c r="E991" t="s">
        <v>295</v>
      </c>
      <c r="F991" t="s">
        <v>45</v>
      </c>
      <c r="G991" t="s">
        <v>14</v>
      </c>
      <c r="H991">
        <v>55</v>
      </c>
    </row>
    <row r="992" spans="1:8" x14ac:dyDescent="0.3">
      <c r="A992" t="s">
        <v>1932</v>
      </c>
      <c r="B992" t="s">
        <v>800</v>
      </c>
      <c r="C992" t="s">
        <v>1105</v>
      </c>
      <c r="D992" t="s">
        <v>35</v>
      </c>
      <c r="E992" t="s">
        <v>140</v>
      </c>
      <c r="F992" t="s">
        <v>13</v>
      </c>
      <c r="G992" t="s">
        <v>40</v>
      </c>
      <c r="H992">
        <v>140</v>
      </c>
    </row>
    <row r="993" spans="1:8" x14ac:dyDescent="0.3">
      <c r="A993" t="s">
        <v>1933</v>
      </c>
      <c r="B993" t="s">
        <v>1320</v>
      </c>
      <c r="C993" t="s">
        <v>303</v>
      </c>
      <c r="D993" t="s">
        <v>53</v>
      </c>
      <c r="E993" t="s">
        <v>104</v>
      </c>
      <c r="F993" t="s">
        <v>158</v>
      </c>
      <c r="G993" t="s">
        <v>14</v>
      </c>
      <c r="H993">
        <v>408.5</v>
      </c>
    </row>
    <row r="994" spans="1:8" x14ac:dyDescent="0.3">
      <c r="A994" t="s">
        <v>1934</v>
      </c>
      <c r="B994" t="s">
        <v>1935</v>
      </c>
      <c r="C994" t="s">
        <v>485</v>
      </c>
      <c r="D994" t="s">
        <v>18</v>
      </c>
      <c r="E994" t="s">
        <v>23</v>
      </c>
      <c r="F994" t="s">
        <v>45</v>
      </c>
      <c r="G994" t="s">
        <v>40</v>
      </c>
      <c r="H994">
        <v>170</v>
      </c>
    </row>
    <row r="995" spans="1:8" x14ac:dyDescent="0.3">
      <c r="A995" t="s">
        <v>1934</v>
      </c>
      <c r="B995" t="s">
        <v>1935</v>
      </c>
      <c r="C995" t="s">
        <v>485</v>
      </c>
      <c r="D995" t="s">
        <v>18</v>
      </c>
      <c r="E995" t="s">
        <v>23</v>
      </c>
      <c r="F995" t="s">
        <v>13</v>
      </c>
      <c r="G995" t="s">
        <v>40</v>
      </c>
      <c r="H995">
        <v>170</v>
      </c>
    </row>
    <row r="996" spans="1:8" x14ac:dyDescent="0.3">
      <c r="A996" t="s">
        <v>1936</v>
      </c>
      <c r="B996" t="s">
        <v>1502</v>
      </c>
      <c r="C996" t="s">
        <v>313</v>
      </c>
      <c r="D996" t="s">
        <v>18</v>
      </c>
      <c r="E996" t="s">
        <v>87</v>
      </c>
      <c r="F996" t="s">
        <v>13</v>
      </c>
      <c r="G996" t="s">
        <v>25</v>
      </c>
      <c r="H996">
        <v>690</v>
      </c>
    </row>
    <row r="997" spans="1:8" x14ac:dyDescent="0.3">
      <c r="A997" t="s">
        <v>1937</v>
      </c>
      <c r="B997" t="s">
        <v>1083</v>
      </c>
      <c r="C997" t="s">
        <v>1938</v>
      </c>
      <c r="D997" t="s">
        <v>29</v>
      </c>
      <c r="E997" t="s">
        <v>49</v>
      </c>
      <c r="F997" t="s">
        <v>54</v>
      </c>
      <c r="G997" t="s">
        <v>65</v>
      </c>
      <c r="H997">
        <v>640.9</v>
      </c>
    </row>
    <row r="998" spans="1:8" x14ac:dyDescent="0.3">
      <c r="A998" t="s">
        <v>1939</v>
      </c>
      <c r="B998" t="s">
        <v>869</v>
      </c>
      <c r="C998" t="s">
        <v>671</v>
      </c>
      <c r="D998" t="s">
        <v>45</v>
      </c>
      <c r="E998" t="s">
        <v>83</v>
      </c>
      <c r="F998" t="s">
        <v>24</v>
      </c>
      <c r="G998" t="s">
        <v>25</v>
      </c>
      <c r="H998">
        <v>148.5</v>
      </c>
    </row>
    <row r="999" spans="1:8" x14ac:dyDescent="0.3">
      <c r="A999" t="s">
        <v>1940</v>
      </c>
      <c r="B999" t="s">
        <v>307</v>
      </c>
      <c r="C999" t="s">
        <v>134</v>
      </c>
      <c r="D999" t="s">
        <v>18</v>
      </c>
      <c r="E999" t="s">
        <v>45</v>
      </c>
      <c r="F999" t="s">
        <v>45</v>
      </c>
      <c r="G999" t="s">
        <v>65</v>
      </c>
      <c r="H999">
        <v>165.75</v>
      </c>
    </row>
    <row r="1000" spans="1:8" x14ac:dyDescent="0.3">
      <c r="A1000" t="s">
        <v>1941</v>
      </c>
      <c r="B1000" t="s">
        <v>1942</v>
      </c>
      <c r="C1000" t="s">
        <v>107</v>
      </c>
      <c r="D1000" t="s">
        <v>35</v>
      </c>
      <c r="E1000" t="s">
        <v>340</v>
      </c>
      <c r="F1000" t="s">
        <v>13</v>
      </c>
      <c r="G1000" t="s">
        <v>65</v>
      </c>
      <c r="H1000">
        <v>670</v>
      </c>
    </row>
    <row r="1001" spans="1:8" x14ac:dyDescent="0.3">
      <c r="A1001" t="s">
        <v>1943</v>
      </c>
      <c r="B1001" t="s">
        <v>1944</v>
      </c>
      <c r="C1001" t="s">
        <v>122</v>
      </c>
      <c r="D1001" t="s">
        <v>53</v>
      </c>
      <c r="E1001" t="s">
        <v>104</v>
      </c>
      <c r="F1001" t="s">
        <v>13</v>
      </c>
      <c r="G1001" t="s">
        <v>14</v>
      </c>
      <c r="H1001">
        <v>60</v>
      </c>
    </row>
  </sheetData>
  <pageMargins left="0.7" right="0.7" top="0.75" bottom="0.75" header="0.3" footer="0.3"/>
  <ignoredErrors>
    <ignoredError sqref="A1:H10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31AF0-4B71-4633-8EA5-A3F33BE4BDEE}">
  <dimension ref="A3:B5"/>
  <sheetViews>
    <sheetView workbookViewId="0">
      <selection activeCell="H43" sqref="H43"/>
    </sheetView>
  </sheetViews>
  <sheetFormatPr defaultRowHeight="15.6" x14ac:dyDescent="0.3"/>
  <cols>
    <col min="1" max="1" width="12.19921875" bestFit="1" customWidth="1"/>
    <col min="2" max="2" width="18.5" bestFit="1" customWidth="1"/>
  </cols>
  <sheetData>
    <row r="3" spans="1:2" x14ac:dyDescent="0.3">
      <c r="A3" s="4" t="s">
        <v>1979</v>
      </c>
      <c r="B3" t="s">
        <v>1978</v>
      </c>
    </row>
    <row r="4" spans="1:2" x14ac:dyDescent="0.3">
      <c r="A4" s="5" t="s">
        <v>1980</v>
      </c>
      <c r="B4" s="3">
        <v>147.25</v>
      </c>
    </row>
    <row r="5" spans="1:2" x14ac:dyDescent="0.3">
      <c r="A5" s="5" t="s">
        <v>1981</v>
      </c>
      <c r="B5" s="3">
        <v>147.25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D221-4621-4792-BE52-58BA50BA0CF1}">
  <dimension ref="A3:A4"/>
  <sheetViews>
    <sheetView workbookViewId="0">
      <selection activeCell="A4" sqref="A4"/>
    </sheetView>
  </sheetViews>
  <sheetFormatPr defaultRowHeight="15.6" x14ac:dyDescent="0.3"/>
  <cols>
    <col min="1" max="1" width="18.5" bestFit="1" customWidth="1"/>
  </cols>
  <sheetData>
    <row r="3" spans="1:1" x14ac:dyDescent="0.3">
      <c r="A3" t="s">
        <v>1978</v>
      </c>
    </row>
    <row r="4" spans="1:1" x14ac:dyDescent="0.3">
      <c r="A4">
        <v>268788.40000000002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DE49-6E65-4563-AD3F-D238DEFECE84}">
  <dimension ref="A3:B13"/>
  <sheetViews>
    <sheetView workbookViewId="0">
      <selection activeCell="V2" sqref="V2"/>
    </sheetView>
  </sheetViews>
  <sheetFormatPr defaultRowHeight="15.6" x14ac:dyDescent="0.3"/>
  <cols>
    <col min="1" max="1" width="12.19921875" bestFit="1" customWidth="1"/>
    <col min="2" max="2" width="18.5" bestFit="1" customWidth="1"/>
    <col min="3" max="3" width="2.8984375" bestFit="1" customWidth="1"/>
    <col min="4" max="4" width="5.8984375" bestFit="1" customWidth="1"/>
    <col min="5" max="6" width="4.8984375" bestFit="1" customWidth="1"/>
    <col min="7" max="8" width="2.8984375" bestFit="1" customWidth="1"/>
    <col min="9" max="9" width="5.8984375" bestFit="1" customWidth="1"/>
    <col min="10" max="11" width="2.8984375" bestFit="1" customWidth="1"/>
    <col min="12" max="12" width="4.8984375" bestFit="1" customWidth="1"/>
    <col min="13" max="13" width="5.8984375" bestFit="1" customWidth="1"/>
    <col min="14" max="15" width="2.8984375" bestFit="1" customWidth="1"/>
    <col min="16" max="16" width="4.8984375" bestFit="1" customWidth="1"/>
    <col min="17" max="17" width="5.8984375" bestFit="1" customWidth="1"/>
    <col min="18" max="19" width="2.8984375" bestFit="1" customWidth="1"/>
    <col min="20" max="20" width="4.8984375" bestFit="1" customWidth="1"/>
    <col min="21" max="23" width="2.8984375" bestFit="1" customWidth="1"/>
    <col min="24" max="24" width="5.8984375" bestFit="1" customWidth="1"/>
    <col min="25" max="26" width="2.8984375" bestFit="1" customWidth="1"/>
    <col min="27" max="27" width="5.8984375" bestFit="1" customWidth="1"/>
    <col min="28" max="28" width="4.8984375" bestFit="1" customWidth="1"/>
    <col min="29" max="29" width="2.8984375" bestFit="1" customWidth="1"/>
    <col min="30" max="30" width="5.8984375" bestFit="1" customWidth="1"/>
    <col min="31" max="31" width="4.8984375" bestFit="1" customWidth="1"/>
    <col min="32" max="33" width="3.8984375" bestFit="1" customWidth="1"/>
    <col min="34" max="36" width="5.8984375" bestFit="1" customWidth="1"/>
    <col min="37" max="37" width="3.8984375" bestFit="1" customWidth="1"/>
    <col min="38" max="38" width="6.8984375" bestFit="1" customWidth="1"/>
    <col min="39" max="39" width="3.8984375" bestFit="1" customWidth="1"/>
    <col min="40" max="40" width="5.8984375" bestFit="1" customWidth="1"/>
    <col min="41" max="43" width="3.8984375" bestFit="1" customWidth="1"/>
    <col min="44" max="44" width="5.8984375" bestFit="1" customWidth="1"/>
    <col min="45" max="48" width="3.8984375" bestFit="1" customWidth="1"/>
    <col min="49" max="49" width="5.8984375" bestFit="1" customWidth="1"/>
    <col min="50" max="50" width="3.8984375" bestFit="1" customWidth="1"/>
    <col min="51" max="51" width="5.8984375" bestFit="1" customWidth="1"/>
    <col min="52" max="52" width="3.8984375" bestFit="1" customWidth="1"/>
    <col min="53" max="54" width="5.8984375" bestFit="1" customWidth="1"/>
    <col min="55" max="57" width="3.8984375" bestFit="1" customWidth="1"/>
    <col min="58" max="58" width="6.8984375" bestFit="1" customWidth="1"/>
    <col min="59" max="61" width="3.8984375" bestFit="1" customWidth="1"/>
    <col min="62" max="62" width="5.8984375" bestFit="1" customWidth="1"/>
    <col min="63" max="63" width="3.8984375" bestFit="1" customWidth="1"/>
    <col min="64" max="64" width="6.8984375" bestFit="1" customWidth="1"/>
    <col min="65" max="65" width="5.8984375" bestFit="1" customWidth="1"/>
    <col min="66" max="67" width="3.8984375" bestFit="1" customWidth="1"/>
    <col min="68" max="68" width="6.8984375" bestFit="1" customWidth="1"/>
    <col min="69" max="69" width="3.8984375" bestFit="1" customWidth="1"/>
    <col min="70" max="70" width="5.8984375" bestFit="1" customWidth="1"/>
    <col min="71" max="71" width="3.8984375" bestFit="1" customWidth="1"/>
    <col min="72" max="72" width="5.8984375" bestFit="1" customWidth="1"/>
    <col min="73" max="74" width="3.8984375" bestFit="1" customWidth="1"/>
    <col min="75" max="75" width="5.8984375" bestFit="1" customWidth="1"/>
    <col min="76" max="76" width="6.8984375" bestFit="1" customWidth="1"/>
    <col min="77" max="77" width="3.8984375" bestFit="1" customWidth="1"/>
    <col min="78" max="78" width="5.8984375" bestFit="1" customWidth="1"/>
    <col min="79" max="82" width="3.8984375" bestFit="1" customWidth="1"/>
    <col min="83" max="84" width="5.8984375" bestFit="1" customWidth="1"/>
    <col min="85" max="85" width="3.8984375" bestFit="1" customWidth="1"/>
    <col min="86" max="86" width="5.8984375" bestFit="1" customWidth="1"/>
    <col min="87" max="93" width="3.8984375" bestFit="1" customWidth="1"/>
    <col min="94" max="94" width="5.8984375" bestFit="1" customWidth="1"/>
    <col min="95" max="95" width="3.8984375" bestFit="1" customWidth="1"/>
    <col min="96" max="96" width="5.8984375" bestFit="1" customWidth="1"/>
    <col min="97" max="97" width="6.8984375" bestFit="1" customWidth="1"/>
    <col min="98" max="98" width="3.8984375" bestFit="1" customWidth="1"/>
    <col min="99" max="99" width="5.8984375" bestFit="1" customWidth="1"/>
    <col min="100" max="100" width="6.8984375" bestFit="1" customWidth="1"/>
    <col min="101" max="101" width="3.8984375" bestFit="1" customWidth="1"/>
    <col min="102" max="102" width="5.8984375" bestFit="1" customWidth="1"/>
    <col min="103" max="104" width="3.8984375" bestFit="1" customWidth="1"/>
    <col min="105" max="105" width="5.8984375" bestFit="1" customWidth="1"/>
    <col min="106" max="106" width="3.8984375" bestFit="1" customWidth="1"/>
    <col min="107" max="107" width="6.8984375" bestFit="1" customWidth="1"/>
    <col min="108" max="110" width="3.8984375" bestFit="1" customWidth="1"/>
    <col min="111" max="111" width="5.8984375" bestFit="1" customWidth="1"/>
    <col min="112" max="113" width="3.8984375" bestFit="1" customWidth="1"/>
    <col min="114" max="114" width="6.8984375" bestFit="1" customWidth="1"/>
    <col min="115" max="118" width="3.8984375" bestFit="1" customWidth="1"/>
    <col min="119" max="119" width="5.8984375" bestFit="1" customWidth="1"/>
    <col min="120" max="120" width="3.8984375" bestFit="1" customWidth="1"/>
    <col min="121" max="121" width="5.8984375" bestFit="1" customWidth="1"/>
    <col min="122" max="122" width="6.8984375" bestFit="1" customWidth="1"/>
    <col min="123" max="123" width="5.8984375" bestFit="1" customWidth="1"/>
    <col min="124" max="124" width="3.8984375" bestFit="1" customWidth="1"/>
    <col min="125" max="125" width="6.8984375" bestFit="1" customWidth="1"/>
    <col min="126" max="127" width="3.8984375" bestFit="1" customWidth="1"/>
    <col min="128" max="128" width="5.8984375" bestFit="1" customWidth="1"/>
    <col min="129" max="131" width="3.8984375" bestFit="1" customWidth="1"/>
    <col min="132" max="132" width="6.8984375" bestFit="1" customWidth="1"/>
    <col min="133" max="133" width="5.8984375" bestFit="1" customWidth="1"/>
    <col min="134" max="135" width="3.8984375" bestFit="1" customWidth="1"/>
    <col min="136" max="136" width="6.8984375" bestFit="1" customWidth="1"/>
    <col min="137" max="139" width="3.8984375" bestFit="1" customWidth="1"/>
    <col min="140" max="140" width="5.8984375" bestFit="1" customWidth="1"/>
    <col min="141" max="144" width="3.8984375" bestFit="1" customWidth="1"/>
    <col min="145" max="145" width="5.8984375" bestFit="1" customWidth="1"/>
    <col min="146" max="146" width="6.8984375" bestFit="1" customWidth="1"/>
    <col min="147" max="148" width="3.8984375" bestFit="1" customWidth="1"/>
    <col min="149" max="149" width="6.8984375" bestFit="1" customWidth="1"/>
    <col min="150" max="150" width="5.8984375" bestFit="1" customWidth="1"/>
    <col min="151" max="156" width="3.8984375" bestFit="1" customWidth="1"/>
    <col min="157" max="157" width="6.8984375" bestFit="1" customWidth="1"/>
    <col min="158" max="159" width="3.8984375" bestFit="1" customWidth="1"/>
    <col min="160" max="160" width="5.8984375" bestFit="1" customWidth="1"/>
    <col min="161" max="161" width="3.8984375" bestFit="1" customWidth="1"/>
    <col min="162" max="162" width="5.8984375" bestFit="1" customWidth="1"/>
    <col min="163" max="163" width="3.8984375" bestFit="1" customWidth="1"/>
    <col min="164" max="164" width="6.8984375" bestFit="1" customWidth="1"/>
    <col min="165" max="166" width="5.8984375" bestFit="1" customWidth="1"/>
    <col min="167" max="169" width="3.8984375" bestFit="1" customWidth="1"/>
    <col min="170" max="172" width="5.8984375" bestFit="1" customWidth="1"/>
    <col min="173" max="175" width="3.8984375" bestFit="1" customWidth="1"/>
    <col min="176" max="177" width="6.8984375" bestFit="1" customWidth="1"/>
    <col min="178" max="178" width="3.8984375" bestFit="1" customWidth="1"/>
    <col min="179" max="179" width="6.8984375" bestFit="1" customWidth="1"/>
    <col min="180" max="184" width="3.8984375" bestFit="1" customWidth="1"/>
    <col min="185" max="185" width="6.8984375" bestFit="1" customWidth="1"/>
    <col min="186" max="187" width="5.8984375" bestFit="1" customWidth="1"/>
    <col min="188" max="188" width="3.8984375" bestFit="1" customWidth="1"/>
    <col min="189" max="189" width="5.8984375" bestFit="1" customWidth="1"/>
    <col min="190" max="194" width="3.8984375" bestFit="1" customWidth="1"/>
    <col min="195" max="195" width="5.8984375" bestFit="1" customWidth="1"/>
    <col min="196" max="196" width="6.8984375" bestFit="1" customWidth="1"/>
    <col min="197" max="198" width="3.8984375" bestFit="1" customWidth="1"/>
    <col min="199" max="199" width="5.8984375" bestFit="1" customWidth="1"/>
    <col min="200" max="200" width="3.8984375" bestFit="1" customWidth="1"/>
    <col min="201" max="201" width="5.8984375" bestFit="1" customWidth="1"/>
    <col min="202" max="202" width="3.8984375" bestFit="1" customWidth="1"/>
    <col min="203" max="203" width="5.8984375" bestFit="1" customWidth="1"/>
    <col min="204" max="212" width="3.8984375" bestFit="1" customWidth="1"/>
    <col min="213" max="213" width="5.8984375" bestFit="1" customWidth="1"/>
    <col min="214" max="220" width="3.8984375" bestFit="1" customWidth="1"/>
    <col min="221" max="221" width="5.8984375" bestFit="1" customWidth="1"/>
    <col min="222" max="223" width="3.8984375" bestFit="1" customWidth="1"/>
    <col min="224" max="224" width="5.8984375" bestFit="1" customWidth="1"/>
    <col min="225" max="225" width="3.8984375" bestFit="1" customWidth="1"/>
    <col min="226" max="226" width="5.8984375" bestFit="1" customWidth="1"/>
    <col min="227" max="230" width="3.8984375" bestFit="1" customWidth="1"/>
    <col min="231" max="233" width="5.8984375" bestFit="1" customWidth="1"/>
    <col min="234" max="235" width="3.8984375" bestFit="1" customWidth="1"/>
    <col min="236" max="237" width="5.8984375" bestFit="1" customWidth="1"/>
    <col min="238" max="238" width="3.8984375" bestFit="1" customWidth="1"/>
    <col min="239" max="239" width="5.8984375" bestFit="1" customWidth="1"/>
    <col min="240" max="241" width="3.8984375" bestFit="1" customWidth="1"/>
    <col min="242" max="242" width="5.8984375" bestFit="1" customWidth="1"/>
    <col min="243" max="243" width="3.8984375" bestFit="1" customWidth="1"/>
    <col min="244" max="244" width="5.8984375" bestFit="1" customWidth="1"/>
    <col min="245" max="245" width="6.8984375" bestFit="1" customWidth="1"/>
    <col min="246" max="246" width="3.8984375" bestFit="1" customWidth="1"/>
    <col min="247" max="247" width="6.8984375" bestFit="1" customWidth="1"/>
    <col min="248" max="248" width="3.8984375" bestFit="1" customWidth="1"/>
    <col min="249" max="250" width="5.8984375" bestFit="1" customWidth="1"/>
    <col min="251" max="252" width="3.8984375" bestFit="1" customWidth="1"/>
    <col min="253" max="253" width="5.8984375" bestFit="1" customWidth="1"/>
    <col min="254" max="254" width="3.8984375" bestFit="1" customWidth="1"/>
    <col min="255" max="256" width="5.8984375" bestFit="1" customWidth="1"/>
    <col min="257" max="258" width="3.8984375" bestFit="1" customWidth="1"/>
    <col min="259" max="259" width="6.8984375" bestFit="1" customWidth="1"/>
    <col min="260" max="262" width="3.8984375" bestFit="1" customWidth="1"/>
    <col min="263" max="263" width="5.8984375" bestFit="1" customWidth="1"/>
    <col min="264" max="266" width="3.8984375" bestFit="1" customWidth="1"/>
    <col min="267" max="267" width="6.8984375" bestFit="1" customWidth="1"/>
    <col min="268" max="270" width="3.8984375" bestFit="1" customWidth="1"/>
    <col min="271" max="271" width="6.8984375" bestFit="1" customWidth="1"/>
    <col min="272" max="273" width="3.8984375" bestFit="1" customWidth="1"/>
    <col min="274" max="274" width="6.8984375" bestFit="1" customWidth="1"/>
    <col min="275" max="282" width="3.8984375" bestFit="1" customWidth="1"/>
    <col min="283" max="283" width="5.8984375" bestFit="1" customWidth="1"/>
    <col min="284" max="286" width="3.8984375" bestFit="1" customWidth="1"/>
    <col min="287" max="287" width="6.8984375" bestFit="1" customWidth="1"/>
    <col min="288" max="291" width="3.8984375" bestFit="1" customWidth="1"/>
    <col min="292" max="292" width="5.8984375" bestFit="1" customWidth="1"/>
    <col min="293" max="293" width="6.8984375" bestFit="1" customWidth="1"/>
    <col min="294" max="294" width="3.8984375" bestFit="1" customWidth="1"/>
    <col min="295" max="295" width="6.8984375" bestFit="1" customWidth="1"/>
    <col min="296" max="298" width="3.8984375" bestFit="1" customWidth="1"/>
    <col min="299" max="299" width="6.8984375" bestFit="1" customWidth="1"/>
    <col min="300" max="300" width="5.8984375" bestFit="1" customWidth="1"/>
    <col min="301" max="301" width="3.8984375" bestFit="1" customWidth="1"/>
    <col min="302" max="302" width="5.8984375" bestFit="1" customWidth="1"/>
    <col min="303" max="303" width="3.8984375" bestFit="1" customWidth="1"/>
    <col min="304" max="304" width="5.8984375" bestFit="1" customWidth="1"/>
    <col min="305" max="306" width="3.8984375" bestFit="1" customWidth="1"/>
    <col min="307" max="307" width="6.8984375" bestFit="1" customWidth="1"/>
    <col min="308" max="310" width="3.8984375" bestFit="1" customWidth="1"/>
    <col min="311" max="311" width="6.8984375" bestFit="1" customWidth="1"/>
    <col min="312" max="312" width="3.8984375" bestFit="1" customWidth="1"/>
    <col min="313" max="313" width="5.8984375" bestFit="1" customWidth="1"/>
    <col min="314" max="314" width="3.8984375" bestFit="1" customWidth="1"/>
    <col min="315" max="316" width="5.8984375" bestFit="1" customWidth="1"/>
    <col min="317" max="321" width="3.8984375" bestFit="1" customWidth="1"/>
    <col min="322" max="322" width="5.8984375" bestFit="1" customWidth="1"/>
    <col min="323" max="324" width="3.8984375" bestFit="1" customWidth="1"/>
    <col min="325" max="325" width="5.8984375" bestFit="1" customWidth="1"/>
    <col min="326" max="332" width="3.8984375" bestFit="1" customWidth="1"/>
    <col min="333" max="333" width="6.8984375" bestFit="1" customWidth="1"/>
    <col min="334" max="336" width="3.8984375" bestFit="1" customWidth="1"/>
    <col min="337" max="337" width="5.8984375" bestFit="1" customWidth="1"/>
    <col min="338" max="339" width="3.8984375" bestFit="1" customWidth="1"/>
    <col min="340" max="340" width="5.8984375" bestFit="1" customWidth="1"/>
    <col min="341" max="342" width="3.8984375" bestFit="1" customWidth="1"/>
    <col min="343" max="343" width="6.8984375" bestFit="1" customWidth="1"/>
    <col min="344" max="345" width="3.8984375" bestFit="1" customWidth="1"/>
    <col min="346" max="346" width="5.8984375" bestFit="1" customWidth="1"/>
    <col min="347" max="355" width="3.8984375" bestFit="1" customWidth="1"/>
    <col min="356" max="356" width="5.8984375" bestFit="1" customWidth="1"/>
    <col min="357" max="357" width="3.8984375" bestFit="1" customWidth="1"/>
    <col min="358" max="358" width="5.8984375" bestFit="1" customWidth="1"/>
    <col min="359" max="359" width="6.8984375" bestFit="1" customWidth="1"/>
    <col min="360" max="360" width="3.8984375" bestFit="1" customWidth="1"/>
    <col min="361" max="361" width="5.8984375" bestFit="1" customWidth="1"/>
    <col min="362" max="362" width="6.8984375" bestFit="1" customWidth="1"/>
    <col min="363" max="363" width="5.8984375" bestFit="1" customWidth="1"/>
    <col min="364" max="364" width="6.8984375" bestFit="1" customWidth="1"/>
    <col min="365" max="365" width="3.8984375" bestFit="1" customWidth="1"/>
    <col min="366" max="366" width="5.8984375" bestFit="1" customWidth="1"/>
    <col min="367" max="373" width="3.8984375" bestFit="1" customWidth="1"/>
    <col min="374" max="374" width="6.8984375" bestFit="1" customWidth="1"/>
    <col min="375" max="375" width="3.8984375" bestFit="1" customWidth="1"/>
    <col min="376" max="376" width="5.8984375" bestFit="1" customWidth="1"/>
    <col min="377" max="386" width="3.8984375" bestFit="1" customWidth="1"/>
    <col min="387" max="389" width="5.8984375" bestFit="1" customWidth="1"/>
    <col min="390" max="396" width="3.8984375" bestFit="1" customWidth="1"/>
    <col min="397" max="397" width="5.8984375" bestFit="1" customWidth="1"/>
    <col min="398" max="406" width="3.8984375" bestFit="1" customWidth="1"/>
    <col min="407" max="408" width="5.8984375" bestFit="1" customWidth="1"/>
    <col min="409" max="410" width="3.8984375" bestFit="1" customWidth="1"/>
    <col min="411" max="411" width="5.8984375" bestFit="1" customWidth="1"/>
    <col min="412" max="419" width="3.8984375" bestFit="1" customWidth="1"/>
    <col min="420" max="420" width="5.8984375" bestFit="1" customWidth="1"/>
    <col min="421" max="426" width="3.8984375" bestFit="1" customWidth="1"/>
    <col min="427" max="427" width="5.8984375" bestFit="1" customWidth="1"/>
    <col min="428" max="434" width="3.8984375" bestFit="1" customWidth="1"/>
    <col min="435" max="435" width="5.8984375" bestFit="1" customWidth="1"/>
    <col min="436" max="442" width="3.8984375" bestFit="1" customWidth="1"/>
    <col min="443" max="443" width="6.8984375" bestFit="1" customWidth="1"/>
    <col min="444" max="449" width="3.8984375" bestFit="1" customWidth="1"/>
    <col min="450" max="450" width="6.8984375" bestFit="1" customWidth="1"/>
    <col min="451" max="451" width="3.8984375" bestFit="1" customWidth="1"/>
    <col min="452" max="452" width="10.8984375" bestFit="1" customWidth="1"/>
  </cols>
  <sheetData>
    <row r="3" spans="1:2" x14ac:dyDescent="0.3">
      <c r="A3" s="4" t="s">
        <v>1979</v>
      </c>
      <c r="B3" t="s">
        <v>1978</v>
      </c>
    </row>
    <row r="4" spans="1:2" x14ac:dyDescent="0.3">
      <c r="A4" s="5" t="s">
        <v>35</v>
      </c>
      <c r="B4">
        <v>69264.899999999994</v>
      </c>
    </row>
    <row r="5" spans="1:2" x14ac:dyDescent="0.3">
      <c r="A5" s="5" t="s">
        <v>29</v>
      </c>
      <c r="B5">
        <v>64747.6</v>
      </c>
    </row>
    <row r="6" spans="1:2" x14ac:dyDescent="0.3">
      <c r="A6" s="5" t="s">
        <v>53</v>
      </c>
      <c r="B6">
        <v>58930.7</v>
      </c>
    </row>
    <row r="7" spans="1:2" x14ac:dyDescent="0.3">
      <c r="A7" s="5" t="s">
        <v>18</v>
      </c>
      <c r="B7">
        <v>56597.35</v>
      </c>
    </row>
    <row r="8" spans="1:2" x14ac:dyDescent="0.3">
      <c r="A8" s="5" t="s">
        <v>1983</v>
      </c>
      <c r="B8">
        <v>5039.7</v>
      </c>
    </row>
    <row r="9" spans="1:2" x14ac:dyDescent="0.3">
      <c r="A9" s="5" t="s">
        <v>1945</v>
      </c>
      <c r="B9">
        <v>4483.2</v>
      </c>
    </row>
    <row r="10" spans="1:2" x14ac:dyDescent="0.3">
      <c r="A10" s="5" t="s">
        <v>1985</v>
      </c>
      <c r="B10">
        <v>3801.15</v>
      </c>
    </row>
    <row r="11" spans="1:2" x14ac:dyDescent="0.3">
      <c r="A11" s="5" t="s">
        <v>1982</v>
      </c>
      <c r="B11">
        <v>3252.35</v>
      </c>
    </row>
    <row r="12" spans="1:2" x14ac:dyDescent="0.3">
      <c r="A12" s="5" t="s">
        <v>1984</v>
      </c>
      <c r="B12">
        <v>2671.45</v>
      </c>
    </row>
    <row r="13" spans="1:2" x14ac:dyDescent="0.3">
      <c r="A13" s="5" t="s">
        <v>1981</v>
      </c>
      <c r="B13">
        <v>268788.40000000002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C02B3-5070-49D0-A9B7-2812387CA993}">
  <dimension ref="A3:B6"/>
  <sheetViews>
    <sheetView workbookViewId="0">
      <selection activeCell="K20" sqref="K20"/>
    </sheetView>
  </sheetViews>
  <sheetFormatPr defaultRowHeight="15.6" x14ac:dyDescent="0.3"/>
  <cols>
    <col min="1" max="1" width="17.8984375" bestFit="1" customWidth="1"/>
    <col min="2" max="2" width="18.5" bestFit="1" customWidth="1"/>
  </cols>
  <sheetData>
    <row r="3" spans="1:2" x14ac:dyDescent="0.3">
      <c r="A3" s="4" t="s">
        <v>1979</v>
      </c>
      <c r="B3" t="s">
        <v>1978</v>
      </c>
    </row>
    <row r="4" spans="1:2" x14ac:dyDescent="0.3">
      <c r="A4" s="5" t="s">
        <v>1986</v>
      </c>
      <c r="B4" s="6">
        <v>0.96712655754489396</v>
      </c>
    </row>
    <row r="5" spans="1:2" x14ac:dyDescent="0.3">
      <c r="A5" s="5" t="s">
        <v>1987</v>
      </c>
      <c r="B5" s="6">
        <v>3.2873442455105949E-2</v>
      </c>
    </row>
    <row r="6" spans="1:2" x14ac:dyDescent="0.3">
      <c r="A6" s="5" t="s">
        <v>1981</v>
      </c>
      <c r="B6"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22D80-7D15-481D-A5BC-4AE52F1DBF18}">
  <dimension ref="A3:B6"/>
  <sheetViews>
    <sheetView workbookViewId="0">
      <selection activeCell="B5" sqref="B5"/>
    </sheetView>
  </sheetViews>
  <sheetFormatPr defaultRowHeight="15.6" x14ac:dyDescent="0.3"/>
  <cols>
    <col min="1" max="1" width="12.796875" bestFit="1" customWidth="1"/>
    <col min="2" max="2" width="18.5" bestFit="1" customWidth="1"/>
  </cols>
  <sheetData>
    <row r="3" spans="1:2" x14ac:dyDescent="0.3">
      <c r="A3" s="4" t="s">
        <v>1979</v>
      </c>
      <c r="B3" t="s">
        <v>1978</v>
      </c>
    </row>
    <row r="4" spans="1:2" x14ac:dyDescent="0.3">
      <c r="A4" s="5" t="s">
        <v>1988</v>
      </c>
      <c r="B4">
        <v>9168.1</v>
      </c>
    </row>
    <row r="5" spans="1:2" x14ac:dyDescent="0.3">
      <c r="A5" s="5" t="s">
        <v>1989</v>
      </c>
      <c r="B5">
        <v>259620.3</v>
      </c>
    </row>
    <row r="6" spans="1:2" x14ac:dyDescent="0.3">
      <c r="A6" s="5" t="s">
        <v>1981</v>
      </c>
      <c r="B6">
        <v>268788.40000000002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DCFB3-C797-494B-AA52-FCD0239E8015}">
  <dimension ref="A3:C5"/>
  <sheetViews>
    <sheetView workbookViewId="0">
      <selection activeCell="B11" sqref="B11"/>
    </sheetView>
  </sheetViews>
  <sheetFormatPr defaultRowHeight="15.6" x14ac:dyDescent="0.3"/>
  <cols>
    <col min="1" max="1" width="12.19921875" bestFit="1" customWidth="1"/>
    <col min="2" max="2" width="18.5" bestFit="1" customWidth="1"/>
    <col min="3" max="3" width="20.3984375" bestFit="1" customWidth="1"/>
  </cols>
  <sheetData>
    <row r="3" spans="1:3" x14ac:dyDescent="0.3">
      <c r="A3" s="4" t="s">
        <v>1979</v>
      </c>
      <c r="B3" t="s">
        <v>1978</v>
      </c>
      <c r="C3" t="s">
        <v>1990</v>
      </c>
    </row>
    <row r="4" spans="1:3" x14ac:dyDescent="0.3">
      <c r="A4" s="5" t="s">
        <v>881</v>
      </c>
      <c r="B4" s="3">
        <v>147.25</v>
      </c>
      <c r="C4">
        <v>1</v>
      </c>
    </row>
    <row r="5" spans="1:3" x14ac:dyDescent="0.3">
      <c r="A5" s="5" t="s">
        <v>1981</v>
      </c>
      <c r="B5" s="3">
        <v>147.25</v>
      </c>
      <c r="C5">
        <v>1</v>
      </c>
    </row>
  </sheetData>
  <sortState xmlns:xlrd2="http://schemas.microsoft.com/office/spreadsheetml/2017/richdata2" ref="A3:C230">
    <sortCondition descending="1" ref="C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994E-CADB-4492-AE3B-2FB3A543A31A}">
  <dimension ref="A3:C6"/>
  <sheetViews>
    <sheetView workbookViewId="0">
      <selection activeCell="G4" sqref="G4"/>
    </sheetView>
  </sheetViews>
  <sheetFormatPr defaultRowHeight="15.6" x14ac:dyDescent="0.3"/>
  <cols>
    <col min="1" max="1" width="12.796875" bestFit="1" customWidth="1"/>
    <col min="2" max="2" width="18.5" bestFit="1" customWidth="1"/>
    <col min="3" max="3" width="22.69921875" bestFit="1" customWidth="1"/>
  </cols>
  <sheetData>
    <row r="3" spans="1:3" x14ac:dyDescent="0.3">
      <c r="A3" s="4" t="s">
        <v>1979</v>
      </c>
      <c r="B3" t="s">
        <v>1978</v>
      </c>
      <c r="C3" t="s">
        <v>1991</v>
      </c>
    </row>
    <row r="4" spans="1:3" x14ac:dyDescent="0.3">
      <c r="A4" s="5" t="s">
        <v>1989</v>
      </c>
      <c r="B4">
        <v>259620.3</v>
      </c>
      <c r="C4">
        <v>336.295725388601</v>
      </c>
    </row>
    <row r="5" spans="1:3" x14ac:dyDescent="0.3">
      <c r="A5" s="5" t="s">
        <v>1988</v>
      </c>
      <c r="B5">
        <v>9168.1</v>
      </c>
      <c r="C5">
        <v>286.50312500000001</v>
      </c>
    </row>
    <row r="6" spans="1:3" x14ac:dyDescent="0.3">
      <c r="A6" s="5" t="s">
        <v>1981</v>
      </c>
      <c r="B6">
        <v>268788.40000000002</v>
      </c>
      <c r="C6">
        <v>334.31393034825874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48572-2395-46E6-8D49-76E44FAD8760}">
  <dimension ref="S12"/>
  <sheetViews>
    <sheetView showGridLines="0" topLeftCell="E1" zoomScale="63" zoomScaleNormal="100" workbookViewId="0">
      <selection activeCell="AB27" sqref="AB27"/>
    </sheetView>
  </sheetViews>
  <sheetFormatPr defaultRowHeight="15.6" x14ac:dyDescent="0.3"/>
  <cols>
    <col min="1" max="16384" width="8.796875" style="11"/>
  </cols>
  <sheetData>
    <row r="12" spans="19:19" x14ac:dyDescent="0.3">
      <c r="S12" s="11" t="s">
        <v>1992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2971-DA9D-40FD-8455-0F54E78903E4}">
  <dimension ref="A3:B16"/>
  <sheetViews>
    <sheetView workbookViewId="0">
      <selection activeCell="B5" sqref="B5"/>
    </sheetView>
  </sheetViews>
  <sheetFormatPr defaultRowHeight="15.6" x14ac:dyDescent="0.3"/>
  <cols>
    <col min="1" max="1" width="12.19921875" bestFit="1" customWidth="1"/>
    <col min="2" max="2" width="18.5" bestFit="1" customWidth="1"/>
  </cols>
  <sheetData>
    <row r="3" spans="1:2" x14ac:dyDescent="0.3">
      <c r="A3" s="4" t="s">
        <v>1979</v>
      </c>
      <c r="B3" t="s">
        <v>1978</v>
      </c>
    </row>
    <row r="4" spans="1:2" x14ac:dyDescent="0.3">
      <c r="A4" s="5" t="s">
        <v>2000</v>
      </c>
      <c r="B4">
        <v>28789.1</v>
      </c>
    </row>
    <row r="5" spans="1:2" x14ac:dyDescent="0.3">
      <c r="A5" s="5" t="s">
        <v>2004</v>
      </c>
      <c r="B5">
        <v>25371.649999999994</v>
      </c>
    </row>
    <row r="6" spans="1:2" x14ac:dyDescent="0.3">
      <c r="A6" s="5" t="s">
        <v>2002</v>
      </c>
      <c r="B6">
        <v>25031.35</v>
      </c>
    </row>
    <row r="7" spans="1:2" x14ac:dyDescent="0.3">
      <c r="A7" s="5" t="s">
        <v>1994</v>
      </c>
      <c r="B7">
        <v>23637.899999999998</v>
      </c>
    </row>
    <row r="8" spans="1:2" x14ac:dyDescent="0.3">
      <c r="A8" s="5" t="s">
        <v>1996</v>
      </c>
      <c r="B8">
        <v>23272.15</v>
      </c>
    </row>
    <row r="9" spans="1:2" x14ac:dyDescent="0.3">
      <c r="A9" s="5" t="s">
        <v>1999</v>
      </c>
      <c r="B9">
        <v>22546.249999999996</v>
      </c>
    </row>
    <row r="10" spans="1:2" x14ac:dyDescent="0.3">
      <c r="A10" s="5" t="s">
        <v>1998</v>
      </c>
      <c r="B10">
        <v>22273.800000000003</v>
      </c>
    </row>
    <row r="11" spans="1:2" x14ac:dyDescent="0.3">
      <c r="A11" s="5" t="s">
        <v>2005</v>
      </c>
      <c r="B11">
        <v>22114.35</v>
      </c>
    </row>
    <row r="12" spans="1:2" x14ac:dyDescent="0.3">
      <c r="A12" s="5" t="s">
        <v>2001</v>
      </c>
      <c r="B12">
        <v>21575.200000000001</v>
      </c>
    </row>
    <row r="13" spans="1:2" x14ac:dyDescent="0.3">
      <c r="A13" s="5" t="s">
        <v>2003</v>
      </c>
      <c r="B13">
        <v>18982.400000000001</v>
      </c>
    </row>
    <row r="14" spans="1:2" x14ac:dyDescent="0.3">
      <c r="A14" s="5" t="s">
        <v>1997</v>
      </c>
      <c r="B14">
        <v>18516.650000000001</v>
      </c>
    </row>
    <row r="15" spans="1:2" x14ac:dyDescent="0.3">
      <c r="A15" s="5" t="s">
        <v>1995</v>
      </c>
      <c r="B15">
        <v>16677.600000000002</v>
      </c>
    </row>
    <row r="16" spans="1:2" x14ac:dyDescent="0.3">
      <c r="A16" s="5" t="s">
        <v>1981</v>
      </c>
      <c r="B16">
        <v>268788.40000000002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E335F-774F-4512-B648-849613F3E351}">
  <dimension ref="A1:N805"/>
  <sheetViews>
    <sheetView tabSelected="1" zoomScale="96" zoomScaleNormal="100" workbookViewId="0">
      <selection activeCell="L3" sqref="L3"/>
    </sheetView>
  </sheetViews>
  <sheetFormatPr defaultRowHeight="15.6" x14ac:dyDescent="0.3"/>
  <cols>
    <col min="1" max="1" width="14.3984375" style="2" bestFit="1" customWidth="1"/>
    <col min="2" max="2" width="12.69921875" bestFit="1" customWidth="1"/>
    <col min="3" max="3" width="9" style="2" bestFit="1" customWidth="1"/>
    <col min="4" max="4" width="12.796875" style="2" bestFit="1" customWidth="1"/>
    <col min="5" max="5" width="13.5" style="2" bestFit="1" customWidth="1"/>
    <col min="6" max="6" width="17" style="2" bestFit="1" customWidth="1"/>
    <col min="7" max="7" width="14" style="3" bestFit="1" customWidth="1"/>
    <col min="8" max="8" width="10.09765625" style="1" bestFit="1" customWidth="1"/>
    <col min="9" max="9" width="8.5" bestFit="1" customWidth="1"/>
    <col min="10" max="10" width="14.69921875" bestFit="1" customWidth="1"/>
    <col min="11" max="11" width="12.796875" bestFit="1" customWidth="1"/>
    <col min="12" max="12" width="22.296875" bestFit="1" customWidth="1"/>
    <col min="13" max="13" width="17.3984375" bestFit="1" customWidth="1"/>
    <col min="14" max="14" width="13.5" customWidth="1"/>
  </cols>
  <sheetData>
    <row r="1" spans="1:14" x14ac:dyDescent="0.3">
      <c r="A1" s="12" t="s">
        <v>0</v>
      </c>
      <c r="B1" s="13" t="s">
        <v>2</v>
      </c>
      <c r="C1" s="12" t="s">
        <v>3</v>
      </c>
      <c r="D1" s="12" t="s">
        <v>4</v>
      </c>
      <c r="E1" s="12" t="s">
        <v>5</v>
      </c>
      <c r="F1" s="12" t="s">
        <v>6</v>
      </c>
      <c r="G1" s="14" t="s">
        <v>7</v>
      </c>
      <c r="H1" s="15" t="s">
        <v>1947</v>
      </c>
      <c r="I1" s="12" t="s">
        <v>1973</v>
      </c>
      <c r="J1" s="12" t="s">
        <v>1974</v>
      </c>
      <c r="K1" s="12" t="s">
        <v>1975</v>
      </c>
      <c r="L1" s="12" t="s">
        <v>1976</v>
      </c>
      <c r="M1" s="12" t="s">
        <v>1977</v>
      </c>
      <c r="N1" s="12" t="s">
        <v>1993</v>
      </c>
    </row>
    <row r="2" spans="1:14" x14ac:dyDescent="0.3">
      <c r="A2" s="7" t="s">
        <v>1921</v>
      </c>
      <c r="B2" s="8" t="s">
        <v>238</v>
      </c>
      <c r="C2" s="7" t="s">
        <v>1945</v>
      </c>
      <c r="D2" s="7" t="s">
        <v>12</v>
      </c>
      <c r="E2" s="7" t="s">
        <v>13</v>
      </c>
      <c r="F2" s="7" t="s">
        <v>25</v>
      </c>
      <c r="G2" s="9">
        <v>313</v>
      </c>
      <c r="H2" s="10" t="s">
        <v>1922</v>
      </c>
      <c r="I2" s="8">
        <f t="shared" ref="I2:I65" si="0">MONTH(H2)</f>
        <v>1</v>
      </c>
      <c r="J2" s="8" t="str">
        <f t="shared" ref="J2:J65" si="1">IF(OR(I2=10,I2=11),"Diwali",IF(I2=9,"Navratri",IF(I2=8,"Rakshabandhan",IF(I2=3,"Holi",IF(I2=1,"Makar Sankranti","Regular")))))</f>
        <v>Makar Sankranti</v>
      </c>
      <c r="K2" s="8" t="str">
        <f t="shared" ref="K2:K65" si="2" xml:space="preserve"> IF(E2="No Promotion", "Not Promoted", "Promoted")</f>
        <v>Promoted</v>
      </c>
      <c r="L2" s="8" t="str">
        <f t="shared" ref="L2:L65" si="3" xml:space="preserve"> IF(D2="Unknown","Employee","Known Employee")</f>
        <v>Known Employee</v>
      </c>
      <c r="M2" s="8">
        <f t="shared" ref="M2:M8" si="4">COUNTIF($B$1:$B$805, B2)</f>
        <v>6</v>
      </c>
      <c r="N2" s="8" t="str">
        <f>TEXT(DATE(2000, I2, 1), "mmmm")</f>
        <v>January</v>
      </c>
    </row>
    <row r="3" spans="1:14" x14ac:dyDescent="0.3">
      <c r="A3" s="2" t="s">
        <v>1712</v>
      </c>
      <c r="B3" t="s">
        <v>238</v>
      </c>
      <c r="C3" s="2" t="s">
        <v>18</v>
      </c>
      <c r="D3" s="2" t="s">
        <v>12</v>
      </c>
      <c r="E3" s="2" t="s">
        <v>158</v>
      </c>
      <c r="F3" s="2" t="s">
        <v>65</v>
      </c>
      <c r="G3" s="3">
        <v>547.20000000000005</v>
      </c>
      <c r="H3" s="1" t="s">
        <v>1483</v>
      </c>
      <c r="I3">
        <f t="shared" si="0"/>
        <v>1</v>
      </c>
      <c r="J3" t="str">
        <f t="shared" si="1"/>
        <v>Makar Sankranti</v>
      </c>
      <c r="K3" t="str">
        <f t="shared" si="2"/>
        <v>Promoted</v>
      </c>
      <c r="L3" t="str">
        <f t="shared" si="3"/>
        <v>Known Employee</v>
      </c>
      <c r="M3">
        <f t="shared" si="4"/>
        <v>6</v>
      </c>
      <c r="N3" t="str">
        <f t="shared" ref="N3:N66" si="5">TEXT(DATE(2000, I3, 1), "mmmm")</f>
        <v>January</v>
      </c>
    </row>
    <row r="4" spans="1:14" x14ac:dyDescent="0.3">
      <c r="A4" s="2" t="s">
        <v>1548</v>
      </c>
      <c r="B4" t="s">
        <v>825</v>
      </c>
      <c r="C4" s="2" t="s">
        <v>1945</v>
      </c>
      <c r="D4" s="2" t="s">
        <v>23</v>
      </c>
      <c r="E4" s="2" t="s">
        <v>13</v>
      </c>
      <c r="F4" s="2" t="s">
        <v>40</v>
      </c>
      <c r="G4" s="3">
        <v>310</v>
      </c>
      <c r="H4" s="1" t="s">
        <v>1549</v>
      </c>
      <c r="I4">
        <f t="shared" si="0"/>
        <v>1</v>
      </c>
      <c r="J4" t="str">
        <f t="shared" si="1"/>
        <v>Makar Sankranti</v>
      </c>
      <c r="K4" t="str">
        <f t="shared" si="2"/>
        <v>Promoted</v>
      </c>
      <c r="L4" t="str">
        <f t="shared" si="3"/>
        <v>Known Employee</v>
      </c>
      <c r="M4">
        <f t="shared" si="4"/>
        <v>4</v>
      </c>
      <c r="N4" t="str">
        <f t="shared" si="5"/>
        <v>January</v>
      </c>
    </row>
    <row r="5" spans="1:14" x14ac:dyDescent="0.3">
      <c r="A5" s="2" t="s">
        <v>810</v>
      </c>
      <c r="B5" t="s">
        <v>346</v>
      </c>
      <c r="C5" s="2" t="s">
        <v>29</v>
      </c>
      <c r="D5" s="2" t="s">
        <v>200</v>
      </c>
      <c r="E5" s="2" t="s">
        <v>54</v>
      </c>
      <c r="F5" s="2" t="s">
        <v>14</v>
      </c>
      <c r="G5" s="3">
        <v>93.5</v>
      </c>
      <c r="H5" s="1" t="s">
        <v>811</v>
      </c>
      <c r="I5">
        <f t="shared" si="0"/>
        <v>1</v>
      </c>
      <c r="J5" t="str">
        <f t="shared" si="1"/>
        <v>Makar Sankranti</v>
      </c>
      <c r="K5" t="str">
        <f t="shared" si="2"/>
        <v>Promoted</v>
      </c>
      <c r="L5" t="str">
        <f t="shared" si="3"/>
        <v>Known Employee</v>
      </c>
      <c r="M5">
        <f t="shared" si="4"/>
        <v>5</v>
      </c>
      <c r="N5" t="str">
        <f t="shared" si="5"/>
        <v>January</v>
      </c>
    </row>
    <row r="6" spans="1:14" x14ac:dyDescent="0.3">
      <c r="A6" s="2" t="s">
        <v>1001</v>
      </c>
      <c r="B6" t="s">
        <v>196</v>
      </c>
      <c r="C6" s="2" t="s">
        <v>18</v>
      </c>
      <c r="D6" s="2" t="s">
        <v>295</v>
      </c>
      <c r="E6" s="2" t="s">
        <v>54</v>
      </c>
      <c r="F6" s="2" t="s">
        <v>14</v>
      </c>
      <c r="G6" s="3">
        <v>458.15</v>
      </c>
      <c r="H6" s="1" t="s">
        <v>811</v>
      </c>
      <c r="I6">
        <f t="shared" si="0"/>
        <v>1</v>
      </c>
      <c r="J6" t="str">
        <f t="shared" si="1"/>
        <v>Makar Sankranti</v>
      </c>
      <c r="K6" t="str">
        <f t="shared" si="2"/>
        <v>Promoted</v>
      </c>
      <c r="L6" t="str">
        <f t="shared" si="3"/>
        <v>Known Employee</v>
      </c>
      <c r="M6">
        <f t="shared" si="4"/>
        <v>8</v>
      </c>
      <c r="N6" t="str">
        <f t="shared" si="5"/>
        <v>January</v>
      </c>
    </row>
    <row r="7" spans="1:14" x14ac:dyDescent="0.3">
      <c r="A7" s="2" t="s">
        <v>1236</v>
      </c>
      <c r="B7" t="s">
        <v>748</v>
      </c>
      <c r="C7" s="2" t="s">
        <v>18</v>
      </c>
      <c r="D7" s="2" t="s">
        <v>87</v>
      </c>
      <c r="E7" s="2" t="s">
        <v>13</v>
      </c>
      <c r="F7" s="2" t="s">
        <v>40</v>
      </c>
      <c r="G7" s="3">
        <v>435</v>
      </c>
      <c r="H7" s="1" t="s">
        <v>1237</v>
      </c>
      <c r="I7">
        <f t="shared" si="0"/>
        <v>1</v>
      </c>
      <c r="J7" t="str">
        <f t="shared" si="1"/>
        <v>Makar Sankranti</v>
      </c>
      <c r="K7" t="str">
        <f t="shared" si="2"/>
        <v>Promoted</v>
      </c>
      <c r="L7" t="str">
        <f t="shared" si="3"/>
        <v>Known Employee</v>
      </c>
      <c r="M7">
        <f t="shared" si="4"/>
        <v>2</v>
      </c>
      <c r="N7" t="str">
        <f t="shared" si="5"/>
        <v>January</v>
      </c>
    </row>
    <row r="8" spans="1:14" x14ac:dyDescent="0.3">
      <c r="A8" s="2" t="s">
        <v>206</v>
      </c>
      <c r="B8" t="s">
        <v>98</v>
      </c>
      <c r="C8" s="2" t="s">
        <v>53</v>
      </c>
      <c r="D8" s="2" t="s">
        <v>83</v>
      </c>
      <c r="E8" s="2" t="s">
        <v>24</v>
      </c>
      <c r="F8" s="2" t="s">
        <v>25</v>
      </c>
      <c r="G8" s="3">
        <v>288</v>
      </c>
      <c r="H8" s="1" t="s">
        <v>207</v>
      </c>
      <c r="I8">
        <f t="shared" si="0"/>
        <v>1</v>
      </c>
      <c r="J8" t="str">
        <f t="shared" si="1"/>
        <v>Makar Sankranti</v>
      </c>
      <c r="K8" t="str">
        <f t="shared" si="2"/>
        <v>Promoted</v>
      </c>
      <c r="L8" t="str">
        <f t="shared" si="3"/>
        <v>Known Employee</v>
      </c>
      <c r="M8">
        <f t="shared" si="4"/>
        <v>5</v>
      </c>
      <c r="N8" t="str">
        <f t="shared" si="5"/>
        <v>January</v>
      </c>
    </row>
    <row r="9" spans="1:14" x14ac:dyDescent="0.3">
      <c r="A9" s="2" t="s">
        <v>105</v>
      </c>
      <c r="B9" t="s">
        <v>107</v>
      </c>
      <c r="C9" s="2" t="s">
        <v>35</v>
      </c>
      <c r="D9" s="2" t="s">
        <v>108</v>
      </c>
      <c r="E9" s="2" t="s">
        <v>24</v>
      </c>
      <c r="F9" s="2" t="s">
        <v>14</v>
      </c>
      <c r="G9" s="3">
        <v>156.6</v>
      </c>
      <c r="H9" s="1" t="s">
        <v>106</v>
      </c>
      <c r="I9">
        <f t="shared" si="0"/>
        <v>1</v>
      </c>
      <c r="J9" t="str">
        <f t="shared" si="1"/>
        <v>Makar Sankranti</v>
      </c>
      <c r="K9" t="str">
        <f t="shared" si="2"/>
        <v>Promoted</v>
      </c>
      <c r="L9" t="str">
        <f t="shared" si="3"/>
        <v>Known Employee</v>
      </c>
      <c r="N9" t="str">
        <f t="shared" si="5"/>
        <v>January</v>
      </c>
    </row>
    <row r="10" spans="1:14" x14ac:dyDescent="0.3">
      <c r="A10" s="2" t="s">
        <v>1272</v>
      </c>
      <c r="B10" t="s">
        <v>872</v>
      </c>
      <c r="C10" s="2" t="s">
        <v>1945</v>
      </c>
      <c r="D10" s="2" t="s">
        <v>23</v>
      </c>
      <c r="E10" s="2" t="s">
        <v>13</v>
      </c>
      <c r="F10" s="2" t="s">
        <v>25</v>
      </c>
      <c r="G10" s="3">
        <v>412</v>
      </c>
      <c r="H10" s="1" t="s">
        <v>1273</v>
      </c>
      <c r="I10">
        <f t="shared" si="0"/>
        <v>1</v>
      </c>
      <c r="J10" t="str">
        <f t="shared" si="1"/>
        <v>Makar Sankranti</v>
      </c>
      <c r="K10" t="str">
        <f t="shared" si="2"/>
        <v>Promoted</v>
      </c>
      <c r="L10" t="str">
        <f t="shared" si="3"/>
        <v>Known Employee</v>
      </c>
      <c r="M10">
        <f t="shared" ref="M10:M73" si="6">COUNTIF($B$1:$B$805, B10)</f>
        <v>6</v>
      </c>
      <c r="N10" t="str">
        <f t="shared" si="5"/>
        <v>January</v>
      </c>
    </row>
    <row r="11" spans="1:14" x14ac:dyDescent="0.3">
      <c r="A11" s="2" t="s">
        <v>1623</v>
      </c>
      <c r="B11" t="s">
        <v>425</v>
      </c>
      <c r="C11" s="2" t="s">
        <v>29</v>
      </c>
      <c r="D11" s="2" t="s">
        <v>1556</v>
      </c>
      <c r="E11" s="2" t="s">
        <v>13</v>
      </c>
      <c r="F11" s="2" t="s">
        <v>25</v>
      </c>
      <c r="G11" s="3">
        <v>775</v>
      </c>
      <c r="H11" s="1" t="s">
        <v>1624</v>
      </c>
      <c r="I11">
        <f t="shared" si="0"/>
        <v>1</v>
      </c>
      <c r="J11" t="str">
        <f t="shared" si="1"/>
        <v>Makar Sankranti</v>
      </c>
      <c r="K11" t="str">
        <f t="shared" si="2"/>
        <v>Promoted</v>
      </c>
      <c r="L11" t="str">
        <f t="shared" si="3"/>
        <v>Known Employee</v>
      </c>
      <c r="M11">
        <f t="shared" si="6"/>
        <v>7</v>
      </c>
      <c r="N11" t="str">
        <f t="shared" si="5"/>
        <v>January</v>
      </c>
    </row>
    <row r="12" spans="1:14" x14ac:dyDescent="0.3">
      <c r="A12" s="2" t="s">
        <v>1104</v>
      </c>
      <c r="B12" t="s">
        <v>310</v>
      </c>
      <c r="C12" s="2" t="s">
        <v>35</v>
      </c>
      <c r="D12" s="2" t="s">
        <v>44</v>
      </c>
      <c r="E12" s="2" t="s">
        <v>13</v>
      </c>
      <c r="F12" s="2" t="s">
        <v>14</v>
      </c>
      <c r="G12" s="3">
        <v>170</v>
      </c>
      <c r="H12" s="1" t="s">
        <v>393</v>
      </c>
      <c r="I12">
        <f t="shared" si="0"/>
        <v>1</v>
      </c>
      <c r="J12" t="str">
        <f t="shared" si="1"/>
        <v>Makar Sankranti</v>
      </c>
      <c r="K12" t="str">
        <f t="shared" si="2"/>
        <v>Promoted</v>
      </c>
      <c r="L12" t="str">
        <f t="shared" si="3"/>
        <v>Known Employee</v>
      </c>
      <c r="M12">
        <f t="shared" si="6"/>
        <v>3</v>
      </c>
      <c r="N12" t="str">
        <f t="shared" si="5"/>
        <v>January</v>
      </c>
    </row>
    <row r="13" spans="1:14" x14ac:dyDescent="0.3">
      <c r="A13" s="2" t="s">
        <v>470</v>
      </c>
      <c r="B13" t="s">
        <v>273</v>
      </c>
      <c r="C13" s="2" t="s">
        <v>18</v>
      </c>
      <c r="D13" s="2" t="s">
        <v>87</v>
      </c>
      <c r="E13" s="2" t="s">
        <v>13</v>
      </c>
      <c r="F13" s="2" t="s">
        <v>25</v>
      </c>
      <c r="G13" s="3">
        <v>110</v>
      </c>
      <c r="H13" s="1" t="s">
        <v>471</v>
      </c>
      <c r="I13">
        <f t="shared" si="0"/>
        <v>1</v>
      </c>
      <c r="J13" t="str">
        <f t="shared" si="1"/>
        <v>Makar Sankranti</v>
      </c>
      <c r="K13" t="str">
        <f t="shared" si="2"/>
        <v>Promoted</v>
      </c>
      <c r="L13" t="str">
        <f t="shared" si="3"/>
        <v>Known Employee</v>
      </c>
      <c r="M13">
        <f t="shared" si="6"/>
        <v>3</v>
      </c>
      <c r="N13" t="str">
        <f t="shared" si="5"/>
        <v>January</v>
      </c>
    </row>
    <row r="14" spans="1:14" x14ac:dyDescent="0.3">
      <c r="A14" s="2" t="s">
        <v>1194</v>
      </c>
      <c r="B14" t="s">
        <v>736</v>
      </c>
      <c r="C14" s="2" t="s">
        <v>35</v>
      </c>
      <c r="D14" s="2" t="s">
        <v>340</v>
      </c>
      <c r="E14" s="2" t="s">
        <v>13</v>
      </c>
      <c r="F14" s="2" t="s">
        <v>40</v>
      </c>
      <c r="G14" s="3">
        <v>280</v>
      </c>
      <c r="H14" s="1" t="s">
        <v>1195</v>
      </c>
      <c r="I14">
        <f t="shared" si="0"/>
        <v>1</v>
      </c>
      <c r="J14" t="str">
        <f t="shared" si="1"/>
        <v>Makar Sankranti</v>
      </c>
      <c r="K14" t="str">
        <f t="shared" si="2"/>
        <v>Promoted</v>
      </c>
      <c r="L14" t="str">
        <f t="shared" si="3"/>
        <v>Known Employee</v>
      </c>
      <c r="M14">
        <f t="shared" si="6"/>
        <v>8</v>
      </c>
      <c r="N14" t="str">
        <f t="shared" si="5"/>
        <v>January</v>
      </c>
    </row>
    <row r="15" spans="1:14" x14ac:dyDescent="0.3">
      <c r="A15" s="2" t="s">
        <v>225</v>
      </c>
      <c r="B15" t="s">
        <v>227</v>
      </c>
      <c r="C15" s="2" t="s">
        <v>35</v>
      </c>
      <c r="D15" s="2" t="s">
        <v>36</v>
      </c>
      <c r="E15" s="2" t="s">
        <v>13</v>
      </c>
      <c r="F15" s="2" t="s">
        <v>65</v>
      </c>
      <c r="G15" s="3">
        <v>641</v>
      </c>
      <c r="H15" s="1" t="s">
        <v>226</v>
      </c>
      <c r="I15">
        <f t="shared" si="0"/>
        <v>1</v>
      </c>
      <c r="J15" t="str">
        <f t="shared" si="1"/>
        <v>Makar Sankranti</v>
      </c>
      <c r="K15" t="str">
        <f t="shared" si="2"/>
        <v>Promoted</v>
      </c>
      <c r="L15" t="str">
        <f t="shared" si="3"/>
        <v>Known Employee</v>
      </c>
      <c r="M15">
        <f t="shared" si="6"/>
        <v>8</v>
      </c>
      <c r="N15" t="str">
        <f t="shared" si="5"/>
        <v>January</v>
      </c>
    </row>
    <row r="16" spans="1:14" x14ac:dyDescent="0.3">
      <c r="A16" s="2" t="s">
        <v>1834</v>
      </c>
      <c r="B16" t="s">
        <v>856</v>
      </c>
      <c r="C16" s="2" t="s">
        <v>35</v>
      </c>
      <c r="D16" s="2" t="s">
        <v>140</v>
      </c>
      <c r="E16" s="2" t="s">
        <v>13</v>
      </c>
      <c r="F16" s="2" t="s">
        <v>65</v>
      </c>
      <c r="G16" s="3">
        <v>60</v>
      </c>
      <c r="H16" s="1" t="s">
        <v>1835</v>
      </c>
      <c r="I16">
        <f t="shared" si="0"/>
        <v>1</v>
      </c>
      <c r="J16" t="str">
        <f t="shared" si="1"/>
        <v>Makar Sankranti</v>
      </c>
      <c r="K16" t="str">
        <f t="shared" si="2"/>
        <v>Promoted</v>
      </c>
      <c r="L16" t="str">
        <f t="shared" si="3"/>
        <v>Known Employee</v>
      </c>
      <c r="M16">
        <f t="shared" si="6"/>
        <v>4</v>
      </c>
      <c r="N16" t="str">
        <f t="shared" si="5"/>
        <v>January</v>
      </c>
    </row>
    <row r="17" spans="1:14" x14ac:dyDescent="0.3">
      <c r="A17" s="2" t="s">
        <v>347</v>
      </c>
      <c r="B17" t="s">
        <v>349</v>
      </c>
      <c r="C17" s="2" t="s">
        <v>53</v>
      </c>
      <c r="D17" s="2" t="s">
        <v>138</v>
      </c>
      <c r="E17" s="2" t="s">
        <v>13</v>
      </c>
      <c r="F17" s="2" t="s">
        <v>65</v>
      </c>
      <c r="G17" s="3">
        <v>520</v>
      </c>
      <c r="H17" s="1" t="s">
        <v>348</v>
      </c>
      <c r="I17">
        <f t="shared" si="0"/>
        <v>2</v>
      </c>
      <c r="J17" t="str">
        <f t="shared" si="1"/>
        <v>Regular</v>
      </c>
      <c r="K17" t="str">
        <f t="shared" si="2"/>
        <v>Promoted</v>
      </c>
      <c r="L17" t="str">
        <f t="shared" si="3"/>
        <v>Known Employee</v>
      </c>
      <c r="M17">
        <f t="shared" si="6"/>
        <v>6</v>
      </c>
      <c r="N17" t="str">
        <f t="shared" si="5"/>
        <v>February</v>
      </c>
    </row>
    <row r="18" spans="1:14" x14ac:dyDescent="0.3">
      <c r="A18" s="2" t="s">
        <v>1719</v>
      </c>
      <c r="B18" t="s">
        <v>213</v>
      </c>
      <c r="C18" s="2" t="s">
        <v>35</v>
      </c>
      <c r="D18" s="2" t="s">
        <v>72</v>
      </c>
      <c r="E18" s="2" t="s">
        <v>1721</v>
      </c>
      <c r="F18" s="2" t="s">
        <v>14</v>
      </c>
      <c r="G18" s="3">
        <v>165.75</v>
      </c>
      <c r="H18" s="1" t="s">
        <v>1720</v>
      </c>
      <c r="I18">
        <f t="shared" si="0"/>
        <v>2</v>
      </c>
      <c r="J18" t="str">
        <f t="shared" si="1"/>
        <v>Regular</v>
      </c>
      <c r="K18" t="str">
        <f t="shared" si="2"/>
        <v>Promoted</v>
      </c>
      <c r="L18" t="str">
        <f t="shared" si="3"/>
        <v>Known Employee</v>
      </c>
      <c r="M18">
        <f t="shared" si="6"/>
        <v>7</v>
      </c>
      <c r="N18" t="str">
        <f t="shared" si="5"/>
        <v>February</v>
      </c>
    </row>
    <row r="19" spans="1:14" x14ac:dyDescent="0.3">
      <c r="A19" s="2" t="s">
        <v>1775</v>
      </c>
      <c r="B19" t="s">
        <v>668</v>
      </c>
      <c r="C19" s="2" t="s">
        <v>18</v>
      </c>
      <c r="D19" s="2" t="s">
        <v>19</v>
      </c>
      <c r="E19" s="2" t="s">
        <v>13</v>
      </c>
      <c r="F19" s="2" t="s">
        <v>65</v>
      </c>
      <c r="G19" s="3">
        <v>455</v>
      </c>
      <c r="H19" s="1" t="s">
        <v>1776</v>
      </c>
      <c r="I19">
        <f t="shared" si="0"/>
        <v>2</v>
      </c>
      <c r="J19" t="str">
        <f t="shared" si="1"/>
        <v>Regular</v>
      </c>
      <c r="K19" t="str">
        <f t="shared" si="2"/>
        <v>Promoted</v>
      </c>
      <c r="L19" t="str">
        <f t="shared" si="3"/>
        <v>Known Employee</v>
      </c>
      <c r="M19">
        <f t="shared" si="6"/>
        <v>4</v>
      </c>
      <c r="N19" t="str">
        <f t="shared" si="5"/>
        <v>February</v>
      </c>
    </row>
    <row r="20" spans="1:14" x14ac:dyDescent="0.3">
      <c r="A20" s="2" t="s">
        <v>879</v>
      </c>
      <c r="B20" t="s">
        <v>881</v>
      </c>
      <c r="C20" s="2" t="s">
        <v>18</v>
      </c>
      <c r="D20" s="2" t="s">
        <v>23</v>
      </c>
      <c r="E20" s="2" t="s">
        <v>13</v>
      </c>
      <c r="F20" s="2" t="s">
        <v>14</v>
      </c>
      <c r="G20" s="3">
        <v>450</v>
      </c>
      <c r="H20" s="1" t="s">
        <v>880</v>
      </c>
      <c r="I20">
        <f t="shared" si="0"/>
        <v>2</v>
      </c>
      <c r="J20" t="str">
        <f t="shared" si="1"/>
        <v>Regular</v>
      </c>
      <c r="K20" t="str">
        <f t="shared" si="2"/>
        <v>Promoted</v>
      </c>
      <c r="L20" t="str">
        <f t="shared" si="3"/>
        <v>Known Employee</v>
      </c>
      <c r="M20">
        <f t="shared" si="6"/>
        <v>6</v>
      </c>
      <c r="N20" t="str">
        <f t="shared" si="5"/>
        <v>February</v>
      </c>
    </row>
    <row r="21" spans="1:14" x14ac:dyDescent="0.3">
      <c r="A21" s="2" t="s">
        <v>729</v>
      </c>
      <c r="B21" t="s">
        <v>93</v>
      </c>
      <c r="C21" s="2" t="s">
        <v>35</v>
      </c>
      <c r="D21" s="2" t="s">
        <v>72</v>
      </c>
      <c r="E21" s="2" t="s">
        <v>13</v>
      </c>
      <c r="F21" s="2" t="s">
        <v>14</v>
      </c>
      <c r="G21" s="3">
        <v>325</v>
      </c>
      <c r="H21" s="1" t="s">
        <v>730</v>
      </c>
      <c r="I21">
        <f t="shared" si="0"/>
        <v>2</v>
      </c>
      <c r="J21" t="str">
        <f t="shared" si="1"/>
        <v>Regular</v>
      </c>
      <c r="K21" t="str">
        <f t="shared" si="2"/>
        <v>Promoted</v>
      </c>
      <c r="L21" t="str">
        <f t="shared" si="3"/>
        <v>Known Employee</v>
      </c>
      <c r="M21">
        <f t="shared" si="6"/>
        <v>5</v>
      </c>
      <c r="N21" t="str">
        <f t="shared" si="5"/>
        <v>February</v>
      </c>
    </row>
    <row r="22" spans="1:14" x14ac:dyDescent="0.3">
      <c r="A22" s="2" t="s">
        <v>274</v>
      </c>
      <c r="B22" t="s">
        <v>276</v>
      </c>
      <c r="C22" s="2" t="s">
        <v>18</v>
      </c>
      <c r="D22" s="2" t="s">
        <v>87</v>
      </c>
      <c r="E22" s="2" t="s">
        <v>24</v>
      </c>
      <c r="F22" s="2" t="s">
        <v>65</v>
      </c>
      <c r="G22" s="3">
        <v>376.2</v>
      </c>
      <c r="H22" s="1" t="s">
        <v>275</v>
      </c>
      <c r="I22">
        <f t="shared" si="0"/>
        <v>2</v>
      </c>
      <c r="J22" t="str">
        <f t="shared" si="1"/>
        <v>Regular</v>
      </c>
      <c r="K22" t="str">
        <f t="shared" si="2"/>
        <v>Promoted</v>
      </c>
      <c r="L22" t="str">
        <f t="shared" si="3"/>
        <v>Known Employee</v>
      </c>
      <c r="M22">
        <f t="shared" si="6"/>
        <v>6</v>
      </c>
      <c r="N22" t="str">
        <f t="shared" si="5"/>
        <v>February</v>
      </c>
    </row>
    <row r="23" spans="1:14" x14ac:dyDescent="0.3">
      <c r="A23" s="2" t="s">
        <v>1463</v>
      </c>
      <c r="B23" t="s">
        <v>137</v>
      </c>
      <c r="C23" s="2" t="s">
        <v>35</v>
      </c>
      <c r="D23" s="2" t="s">
        <v>1945</v>
      </c>
      <c r="E23" s="2" t="s">
        <v>13</v>
      </c>
      <c r="F23" s="2" t="s">
        <v>65</v>
      </c>
      <c r="G23" s="3">
        <v>644</v>
      </c>
      <c r="H23" s="1" t="s">
        <v>1464</v>
      </c>
      <c r="I23">
        <f t="shared" si="0"/>
        <v>2</v>
      </c>
      <c r="J23" t="str">
        <f t="shared" si="1"/>
        <v>Regular</v>
      </c>
      <c r="K23" t="str">
        <f t="shared" si="2"/>
        <v>Promoted</v>
      </c>
      <c r="L23" t="str">
        <f t="shared" si="3"/>
        <v>Employee</v>
      </c>
      <c r="M23">
        <f t="shared" si="6"/>
        <v>7</v>
      </c>
      <c r="N23" t="str">
        <f t="shared" si="5"/>
        <v>February</v>
      </c>
    </row>
    <row r="24" spans="1:14" x14ac:dyDescent="0.3">
      <c r="A24" s="2" t="s">
        <v>32</v>
      </c>
      <c r="B24" t="s">
        <v>34</v>
      </c>
      <c r="C24" s="2" t="s">
        <v>35</v>
      </c>
      <c r="D24" s="2" t="s">
        <v>36</v>
      </c>
      <c r="E24" s="2" t="s">
        <v>13</v>
      </c>
      <c r="F24" s="2" t="s">
        <v>14</v>
      </c>
      <c r="G24" s="3">
        <v>364</v>
      </c>
      <c r="H24" s="1" t="s">
        <v>33</v>
      </c>
      <c r="I24">
        <f t="shared" si="0"/>
        <v>2</v>
      </c>
      <c r="J24" t="str">
        <f t="shared" si="1"/>
        <v>Regular</v>
      </c>
      <c r="K24" t="str">
        <f t="shared" si="2"/>
        <v>Promoted</v>
      </c>
      <c r="L24" t="str">
        <f t="shared" si="3"/>
        <v>Known Employee</v>
      </c>
      <c r="M24">
        <f t="shared" si="6"/>
        <v>4</v>
      </c>
      <c r="N24" t="str">
        <f t="shared" si="5"/>
        <v>February</v>
      </c>
    </row>
    <row r="25" spans="1:14" x14ac:dyDescent="0.3">
      <c r="A25" s="2" t="s">
        <v>1478</v>
      </c>
      <c r="B25" t="s">
        <v>523</v>
      </c>
      <c r="C25" s="2" t="s">
        <v>35</v>
      </c>
      <c r="D25" s="2" t="s">
        <v>36</v>
      </c>
      <c r="E25" s="2" t="s">
        <v>13</v>
      </c>
      <c r="F25" s="2" t="s">
        <v>25</v>
      </c>
      <c r="G25" s="3">
        <v>443</v>
      </c>
      <c r="H25" s="1" t="s">
        <v>1479</v>
      </c>
      <c r="I25">
        <f t="shared" si="0"/>
        <v>2</v>
      </c>
      <c r="J25" t="str">
        <f t="shared" si="1"/>
        <v>Regular</v>
      </c>
      <c r="K25" t="str">
        <f t="shared" si="2"/>
        <v>Promoted</v>
      </c>
      <c r="L25" t="str">
        <f t="shared" si="3"/>
        <v>Known Employee</v>
      </c>
      <c r="M25">
        <f t="shared" si="6"/>
        <v>3</v>
      </c>
      <c r="N25" t="str">
        <f t="shared" si="5"/>
        <v>February</v>
      </c>
    </row>
    <row r="26" spans="1:14" x14ac:dyDescent="0.3">
      <c r="A26" s="2" t="s">
        <v>1598</v>
      </c>
      <c r="B26" t="s">
        <v>1040</v>
      </c>
      <c r="C26" s="2" t="s">
        <v>29</v>
      </c>
      <c r="D26" s="2" t="s">
        <v>1103</v>
      </c>
      <c r="E26" s="2" t="s">
        <v>13</v>
      </c>
      <c r="F26" s="2" t="s">
        <v>40</v>
      </c>
      <c r="G26" s="3">
        <v>505</v>
      </c>
      <c r="H26" s="1" t="s">
        <v>1599</v>
      </c>
      <c r="I26">
        <f t="shared" si="0"/>
        <v>2</v>
      </c>
      <c r="J26" t="str">
        <f t="shared" si="1"/>
        <v>Regular</v>
      </c>
      <c r="K26" t="str">
        <f t="shared" si="2"/>
        <v>Promoted</v>
      </c>
      <c r="L26" t="str">
        <f t="shared" si="3"/>
        <v>Known Employee</v>
      </c>
      <c r="M26">
        <f t="shared" si="6"/>
        <v>4</v>
      </c>
      <c r="N26" t="str">
        <f t="shared" si="5"/>
        <v>February</v>
      </c>
    </row>
    <row r="27" spans="1:14" x14ac:dyDescent="0.3">
      <c r="A27" s="2" t="s">
        <v>1155</v>
      </c>
      <c r="B27" t="s">
        <v>872</v>
      </c>
      <c r="C27" s="2" t="s">
        <v>53</v>
      </c>
      <c r="D27" s="2" t="s">
        <v>83</v>
      </c>
      <c r="E27" s="2" t="s">
        <v>13</v>
      </c>
      <c r="F27" s="2" t="s">
        <v>14</v>
      </c>
      <c r="G27" s="3">
        <v>320</v>
      </c>
      <c r="H27" s="1" t="s">
        <v>1958</v>
      </c>
      <c r="I27">
        <f t="shared" si="0"/>
        <v>2</v>
      </c>
      <c r="J27" t="str">
        <f t="shared" si="1"/>
        <v>Regular</v>
      </c>
      <c r="K27" t="str">
        <f t="shared" si="2"/>
        <v>Promoted</v>
      </c>
      <c r="L27" t="str">
        <f t="shared" si="3"/>
        <v>Known Employee</v>
      </c>
      <c r="M27">
        <f t="shared" si="6"/>
        <v>6</v>
      </c>
      <c r="N27" t="str">
        <f t="shared" si="5"/>
        <v>February</v>
      </c>
    </row>
    <row r="28" spans="1:14" x14ac:dyDescent="0.3">
      <c r="A28" s="2" t="s">
        <v>333</v>
      </c>
      <c r="B28" t="s">
        <v>57</v>
      </c>
      <c r="C28" s="2" t="s">
        <v>35</v>
      </c>
      <c r="D28" s="2" t="s">
        <v>140</v>
      </c>
      <c r="E28" s="2" t="s">
        <v>24</v>
      </c>
      <c r="F28" s="2" t="s">
        <v>14</v>
      </c>
      <c r="G28" s="3">
        <v>593.1</v>
      </c>
      <c r="H28" s="1" t="s">
        <v>67</v>
      </c>
      <c r="I28">
        <f t="shared" si="0"/>
        <v>2</v>
      </c>
      <c r="J28" t="str">
        <f t="shared" si="1"/>
        <v>Regular</v>
      </c>
      <c r="K28" t="str">
        <f t="shared" si="2"/>
        <v>Promoted</v>
      </c>
      <c r="L28" t="str">
        <f t="shared" si="3"/>
        <v>Known Employee</v>
      </c>
      <c r="M28">
        <f t="shared" si="6"/>
        <v>8</v>
      </c>
      <c r="N28" t="str">
        <f t="shared" si="5"/>
        <v>February</v>
      </c>
    </row>
    <row r="29" spans="1:14" x14ac:dyDescent="0.3">
      <c r="A29" s="2" t="s">
        <v>66</v>
      </c>
      <c r="B29" t="s">
        <v>68</v>
      </c>
      <c r="C29" s="2" t="s">
        <v>18</v>
      </c>
      <c r="D29" s="2" t="s">
        <v>23</v>
      </c>
      <c r="E29" s="2" t="s">
        <v>13</v>
      </c>
      <c r="F29" s="2" t="s">
        <v>14</v>
      </c>
      <c r="G29" s="3">
        <v>259</v>
      </c>
      <c r="H29" s="1" t="s">
        <v>67</v>
      </c>
      <c r="I29">
        <f t="shared" si="0"/>
        <v>2</v>
      </c>
      <c r="J29" t="str">
        <f t="shared" si="1"/>
        <v>Regular</v>
      </c>
      <c r="K29" t="str">
        <f t="shared" si="2"/>
        <v>Promoted</v>
      </c>
      <c r="L29" t="str">
        <f t="shared" si="3"/>
        <v>Known Employee</v>
      </c>
      <c r="M29">
        <f t="shared" si="6"/>
        <v>4</v>
      </c>
      <c r="N29" t="str">
        <f t="shared" si="5"/>
        <v>February</v>
      </c>
    </row>
    <row r="30" spans="1:14" x14ac:dyDescent="0.3">
      <c r="A30" s="2" t="s">
        <v>401</v>
      </c>
      <c r="B30" t="s">
        <v>403</v>
      </c>
      <c r="C30" s="2" t="s">
        <v>18</v>
      </c>
      <c r="D30" s="2" t="s">
        <v>87</v>
      </c>
      <c r="E30" s="2" t="s">
        <v>158</v>
      </c>
      <c r="F30" s="2" t="s">
        <v>40</v>
      </c>
      <c r="G30" s="3">
        <v>171</v>
      </c>
      <c r="H30" s="1" t="s">
        <v>402</v>
      </c>
      <c r="I30">
        <f t="shared" si="0"/>
        <v>3</v>
      </c>
      <c r="J30" t="str">
        <f t="shared" si="1"/>
        <v>Holi</v>
      </c>
      <c r="K30" t="str">
        <f t="shared" si="2"/>
        <v>Promoted</v>
      </c>
      <c r="L30" t="str">
        <f t="shared" si="3"/>
        <v>Known Employee</v>
      </c>
      <c r="M30">
        <f t="shared" si="6"/>
        <v>1</v>
      </c>
      <c r="N30" t="str">
        <f t="shared" si="5"/>
        <v>March</v>
      </c>
    </row>
    <row r="31" spans="1:14" x14ac:dyDescent="0.3">
      <c r="A31" s="2" t="s">
        <v>1836</v>
      </c>
      <c r="B31" t="s">
        <v>396</v>
      </c>
      <c r="C31" s="2" t="s">
        <v>35</v>
      </c>
      <c r="D31" s="2" t="s">
        <v>44</v>
      </c>
      <c r="E31" s="2" t="s">
        <v>13</v>
      </c>
      <c r="F31" s="2" t="s">
        <v>40</v>
      </c>
      <c r="G31" s="3">
        <v>460</v>
      </c>
      <c r="H31" s="1" t="s">
        <v>402</v>
      </c>
      <c r="I31">
        <f t="shared" si="0"/>
        <v>3</v>
      </c>
      <c r="J31" t="str">
        <f t="shared" si="1"/>
        <v>Holi</v>
      </c>
      <c r="K31" t="str">
        <f t="shared" si="2"/>
        <v>Promoted</v>
      </c>
      <c r="L31" t="str">
        <f t="shared" si="3"/>
        <v>Known Employee</v>
      </c>
      <c r="M31">
        <f t="shared" si="6"/>
        <v>6</v>
      </c>
      <c r="N31" t="str">
        <f t="shared" si="5"/>
        <v>March</v>
      </c>
    </row>
    <row r="32" spans="1:14" x14ac:dyDescent="0.3">
      <c r="A32" s="2" t="s">
        <v>1343</v>
      </c>
      <c r="B32" t="s">
        <v>98</v>
      </c>
      <c r="C32" s="2" t="s">
        <v>35</v>
      </c>
      <c r="D32" s="2" t="s">
        <v>72</v>
      </c>
      <c r="E32" s="2" t="s">
        <v>13</v>
      </c>
      <c r="F32" s="2" t="s">
        <v>40</v>
      </c>
      <c r="G32" s="3">
        <v>116</v>
      </c>
      <c r="H32" s="1" t="s">
        <v>1344</v>
      </c>
      <c r="I32">
        <f t="shared" si="0"/>
        <v>3</v>
      </c>
      <c r="J32" t="str">
        <f t="shared" si="1"/>
        <v>Holi</v>
      </c>
      <c r="K32" t="str">
        <f t="shared" si="2"/>
        <v>Promoted</v>
      </c>
      <c r="L32" t="str">
        <f t="shared" si="3"/>
        <v>Known Employee</v>
      </c>
      <c r="M32">
        <f t="shared" si="6"/>
        <v>5</v>
      </c>
      <c r="N32" t="str">
        <f t="shared" si="5"/>
        <v>March</v>
      </c>
    </row>
    <row r="33" spans="1:14" x14ac:dyDescent="0.3">
      <c r="A33" s="2" t="s">
        <v>1589</v>
      </c>
      <c r="B33" t="s">
        <v>258</v>
      </c>
      <c r="C33" s="2" t="s">
        <v>18</v>
      </c>
      <c r="D33" s="2" t="s">
        <v>295</v>
      </c>
      <c r="E33" s="2" t="s">
        <v>13</v>
      </c>
      <c r="F33" s="2" t="s">
        <v>65</v>
      </c>
      <c r="G33" s="3">
        <v>574</v>
      </c>
      <c r="H33" s="1" t="s">
        <v>1344</v>
      </c>
      <c r="I33">
        <f t="shared" si="0"/>
        <v>3</v>
      </c>
      <c r="J33" t="str">
        <f t="shared" si="1"/>
        <v>Holi</v>
      </c>
      <c r="K33" t="str">
        <f t="shared" si="2"/>
        <v>Promoted</v>
      </c>
      <c r="L33" t="str">
        <f t="shared" si="3"/>
        <v>Known Employee</v>
      </c>
      <c r="M33">
        <f t="shared" si="6"/>
        <v>8</v>
      </c>
      <c r="N33" t="str">
        <f t="shared" si="5"/>
        <v>March</v>
      </c>
    </row>
    <row r="34" spans="1:14" x14ac:dyDescent="0.3">
      <c r="A34" s="2" t="s">
        <v>1205</v>
      </c>
      <c r="B34" t="s">
        <v>460</v>
      </c>
      <c r="C34" s="2" t="s">
        <v>53</v>
      </c>
      <c r="D34" s="2" t="s">
        <v>118</v>
      </c>
      <c r="E34" s="2" t="s">
        <v>13</v>
      </c>
      <c r="F34" s="2" t="s">
        <v>25</v>
      </c>
      <c r="G34" s="3">
        <v>514</v>
      </c>
      <c r="H34" s="1" t="s">
        <v>1206</v>
      </c>
      <c r="I34">
        <f t="shared" si="0"/>
        <v>3</v>
      </c>
      <c r="J34" t="str">
        <f t="shared" si="1"/>
        <v>Holi</v>
      </c>
      <c r="K34" t="str">
        <f t="shared" si="2"/>
        <v>Promoted</v>
      </c>
      <c r="L34" t="str">
        <f t="shared" si="3"/>
        <v>Known Employee</v>
      </c>
      <c r="M34">
        <f t="shared" si="6"/>
        <v>4</v>
      </c>
      <c r="N34" t="str">
        <f t="shared" si="5"/>
        <v>March</v>
      </c>
    </row>
    <row r="35" spans="1:14" x14ac:dyDescent="0.3">
      <c r="A35" s="2" t="s">
        <v>355</v>
      </c>
      <c r="B35" t="s">
        <v>357</v>
      </c>
      <c r="C35" s="2" t="s">
        <v>11</v>
      </c>
      <c r="D35" s="2" t="s">
        <v>295</v>
      </c>
      <c r="E35" s="2" t="s">
        <v>13</v>
      </c>
      <c r="F35" s="2" t="s">
        <v>40</v>
      </c>
      <c r="G35" s="3">
        <v>527</v>
      </c>
      <c r="H35" s="1" t="s">
        <v>356</v>
      </c>
      <c r="I35">
        <f t="shared" si="0"/>
        <v>3</v>
      </c>
      <c r="J35" t="str">
        <f t="shared" si="1"/>
        <v>Holi</v>
      </c>
      <c r="K35" t="str">
        <f t="shared" si="2"/>
        <v>Promoted</v>
      </c>
      <c r="L35" t="str">
        <f t="shared" si="3"/>
        <v>Known Employee</v>
      </c>
      <c r="M35">
        <f t="shared" si="6"/>
        <v>1</v>
      </c>
      <c r="N35" t="str">
        <f t="shared" si="5"/>
        <v>March</v>
      </c>
    </row>
    <row r="36" spans="1:14" x14ac:dyDescent="0.3">
      <c r="A36" s="2" t="s">
        <v>1690</v>
      </c>
      <c r="B36" t="s">
        <v>736</v>
      </c>
      <c r="C36" s="2" t="s">
        <v>35</v>
      </c>
      <c r="D36" s="2" t="s">
        <v>44</v>
      </c>
      <c r="E36" s="2" t="s">
        <v>158</v>
      </c>
      <c r="F36" s="2" t="s">
        <v>25</v>
      </c>
      <c r="G36" s="3">
        <v>468.35</v>
      </c>
      <c r="H36" s="1" t="s">
        <v>1691</v>
      </c>
      <c r="I36">
        <f t="shared" si="0"/>
        <v>3</v>
      </c>
      <c r="J36" t="str">
        <f t="shared" si="1"/>
        <v>Holi</v>
      </c>
      <c r="K36" t="str">
        <f t="shared" si="2"/>
        <v>Promoted</v>
      </c>
      <c r="L36" t="str">
        <f t="shared" si="3"/>
        <v>Known Employee</v>
      </c>
      <c r="M36">
        <f t="shared" si="6"/>
        <v>8</v>
      </c>
      <c r="N36" t="str">
        <f t="shared" si="5"/>
        <v>March</v>
      </c>
    </row>
    <row r="37" spans="1:14" x14ac:dyDescent="0.3">
      <c r="A37" s="2" t="s">
        <v>1364</v>
      </c>
      <c r="B37" t="s">
        <v>276</v>
      </c>
      <c r="C37" s="2" t="s">
        <v>29</v>
      </c>
      <c r="D37" s="2" t="s">
        <v>49</v>
      </c>
      <c r="E37" s="2" t="s">
        <v>24</v>
      </c>
      <c r="F37" s="2" t="s">
        <v>14</v>
      </c>
      <c r="G37" s="3">
        <v>468.9</v>
      </c>
      <c r="H37" s="1" t="s">
        <v>1963</v>
      </c>
      <c r="I37">
        <f t="shared" si="0"/>
        <v>3</v>
      </c>
      <c r="J37" t="str">
        <f t="shared" si="1"/>
        <v>Holi</v>
      </c>
      <c r="K37" t="str">
        <f t="shared" si="2"/>
        <v>Promoted</v>
      </c>
      <c r="L37" t="str">
        <f t="shared" si="3"/>
        <v>Known Employee</v>
      </c>
      <c r="M37">
        <f t="shared" si="6"/>
        <v>6</v>
      </c>
      <c r="N37" t="str">
        <f t="shared" si="5"/>
        <v>March</v>
      </c>
    </row>
    <row r="38" spans="1:14" x14ac:dyDescent="0.3">
      <c r="A38" s="2" t="s">
        <v>1879</v>
      </c>
      <c r="B38" t="s">
        <v>697</v>
      </c>
      <c r="C38" s="2" t="s">
        <v>35</v>
      </c>
      <c r="D38" s="2" t="s">
        <v>140</v>
      </c>
      <c r="E38" s="2" t="s">
        <v>54</v>
      </c>
      <c r="F38" s="2" t="s">
        <v>40</v>
      </c>
      <c r="G38" s="3">
        <v>178.5</v>
      </c>
      <c r="H38" s="1" t="s">
        <v>1880</v>
      </c>
      <c r="I38">
        <f t="shared" si="0"/>
        <v>3</v>
      </c>
      <c r="J38" t="str">
        <f t="shared" si="1"/>
        <v>Holi</v>
      </c>
      <c r="K38" t="str">
        <f t="shared" si="2"/>
        <v>Promoted</v>
      </c>
      <c r="L38" t="str">
        <f t="shared" si="3"/>
        <v>Known Employee</v>
      </c>
      <c r="M38">
        <f t="shared" si="6"/>
        <v>3</v>
      </c>
      <c r="N38" t="str">
        <f t="shared" si="5"/>
        <v>March</v>
      </c>
    </row>
    <row r="39" spans="1:14" x14ac:dyDescent="0.3">
      <c r="A39" s="2" t="s">
        <v>1777</v>
      </c>
      <c r="B39" t="s">
        <v>230</v>
      </c>
      <c r="C39" s="2" t="s">
        <v>157</v>
      </c>
      <c r="D39" s="2" t="s">
        <v>118</v>
      </c>
      <c r="E39" s="2" t="s">
        <v>54</v>
      </c>
      <c r="F39" s="2" t="s">
        <v>40</v>
      </c>
      <c r="G39" s="3">
        <v>486.2</v>
      </c>
      <c r="H39" s="1" t="s">
        <v>1778</v>
      </c>
      <c r="I39">
        <f t="shared" si="0"/>
        <v>3</v>
      </c>
      <c r="J39" t="str">
        <f t="shared" si="1"/>
        <v>Holi</v>
      </c>
      <c r="K39" t="str">
        <f t="shared" si="2"/>
        <v>Promoted</v>
      </c>
      <c r="L39" t="str">
        <f t="shared" si="3"/>
        <v>Known Employee</v>
      </c>
      <c r="M39">
        <f t="shared" si="6"/>
        <v>6</v>
      </c>
      <c r="N39" t="str">
        <f t="shared" si="5"/>
        <v>March</v>
      </c>
    </row>
    <row r="40" spans="1:14" x14ac:dyDescent="0.3">
      <c r="A40" s="2" t="s">
        <v>1396</v>
      </c>
      <c r="B40" t="s">
        <v>213</v>
      </c>
      <c r="C40" s="2" t="s">
        <v>35</v>
      </c>
      <c r="D40" s="2" t="s">
        <v>72</v>
      </c>
      <c r="E40" s="2" t="s">
        <v>13</v>
      </c>
      <c r="F40" s="2" t="s">
        <v>25</v>
      </c>
      <c r="G40" s="3">
        <v>476</v>
      </c>
      <c r="H40" s="1" t="s">
        <v>1397</v>
      </c>
      <c r="I40">
        <f t="shared" si="0"/>
        <v>4</v>
      </c>
      <c r="J40" t="str">
        <f t="shared" si="1"/>
        <v>Regular</v>
      </c>
      <c r="K40" t="str">
        <f t="shared" si="2"/>
        <v>Promoted</v>
      </c>
      <c r="L40" t="str">
        <f t="shared" si="3"/>
        <v>Known Employee</v>
      </c>
      <c r="M40">
        <f t="shared" si="6"/>
        <v>7</v>
      </c>
      <c r="N40" t="str">
        <f t="shared" si="5"/>
        <v>April</v>
      </c>
    </row>
    <row r="41" spans="1:14" x14ac:dyDescent="0.3">
      <c r="A41" s="2" t="s">
        <v>1733</v>
      </c>
      <c r="B41" t="s">
        <v>48</v>
      </c>
      <c r="C41" s="2" t="s">
        <v>11</v>
      </c>
      <c r="D41" s="2" t="s">
        <v>494</v>
      </c>
      <c r="E41" s="2" t="s">
        <v>13</v>
      </c>
      <c r="F41" s="2" t="s">
        <v>25</v>
      </c>
      <c r="G41" s="3">
        <v>650</v>
      </c>
      <c r="H41" s="1" t="s">
        <v>1734</v>
      </c>
      <c r="I41">
        <f t="shared" si="0"/>
        <v>4</v>
      </c>
      <c r="J41" t="str">
        <f t="shared" si="1"/>
        <v>Regular</v>
      </c>
      <c r="K41" t="str">
        <f t="shared" si="2"/>
        <v>Promoted</v>
      </c>
      <c r="L41" t="str">
        <f t="shared" si="3"/>
        <v>Known Employee</v>
      </c>
      <c r="M41">
        <f t="shared" si="6"/>
        <v>4</v>
      </c>
      <c r="N41" t="str">
        <f t="shared" si="5"/>
        <v>April</v>
      </c>
    </row>
    <row r="42" spans="1:14" x14ac:dyDescent="0.3">
      <c r="A42" s="2" t="s">
        <v>1917</v>
      </c>
      <c r="B42" t="s">
        <v>103</v>
      </c>
      <c r="C42" s="2" t="s">
        <v>53</v>
      </c>
      <c r="D42" s="2" t="s">
        <v>138</v>
      </c>
      <c r="E42" s="2" t="s">
        <v>13</v>
      </c>
      <c r="F42" s="2" t="s">
        <v>25</v>
      </c>
      <c r="G42" s="3">
        <v>255</v>
      </c>
      <c r="H42" s="1" t="s">
        <v>1918</v>
      </c>
      <c r="I42">
        <f t="shared" si="0"/>
        <v>4</v>
      </c>
      <c r="J42" t="str">
        <f t="shared" si="1"/>
        <v>Regular</v>
      </c>
      <c r="K42" t="str">
        <f t="shared" si="2"/>
        <v>Promoted</v>
      </c>
      <c r="L42" t="str">
        <f t="shared" si="3"/>
        <v>Known Employee</v>
      </c>
      <c r="M42">
        <f t="shared" si="6"/>
        <v>4</v>
      </c>
      <c r="N42" t="str">
        <f t="shared" si="5"/>
        <v>April</v>
      </c>
    </row>
    <row r="43" spans="1:14" x14ac:dyDescent="0.3">
      <c r="A43" s="2" t="s">
        <v>341</v>
      </c>
      <c r="B43" t="s">
        <v>343</v>
      </c>
      <c r="C43" s="2" t="s">
        <v>29</v>
      </c>
      <c r="D43" s="2" t="s">
        <v>200</v>
      </c>
      <c r="E43" s="2" t="s">
        <v>158</v>
      </c>
      <c r="F43" s="2" t="s">
        <v>65</v>
      </c>
      <c r="G43" s="3">
        <v>513</v>
      </c>
      <c r="H43" s="1" t="s">
        <v>342</v>
      </c>
      <c r="I43">
        <f t="shared" si="0"/>
        <v>4</v>
      </c>
      <c r="J43" t="str">
        <f t="shared" si="1"/>
        <v>Regular</v>
      </c>
      <c r="K43" t="str">
        <f t="shared" si="2"/>
        <v>Promoted</v>
      </c>
      <c r="L43" t="str">
        <f t="shared" si="3"/>
        <v>Known Employee</v>
      </c>
      <c r="M43">
        <f t="shared" si="6"/>
        <v>7</v>
      </c>
      <c r="N43" t="str">
        <f t="shared" si="5"/>
        <v>April</v>
      </c>
    </row>
    <row r="44" spans="1:14" x14ac:dyDescent="0.3">
      <c r="A44" s="2" t="s">
        <v>172</v>
      </c>
      <c r="B44" t="s">
        <v>174</v>
      </c>
      <c r="C44" s="2" t="s">
        <v>35</v>
      </c>
      <c r="D44" s="2" t="s">
        <v>1945</v>
      </c>
      <c r="E44" s="2" t="s">
        <v>13</v>
      </c>
      <c r="F44" s="2" t="s">
        <v>65</v>
      </c>
      <c r="G44" s="3">
        <v>615</v>
      </c>
      <c r="H44" s="1" t="s">
        <v>173</v>
      </c>
      <c r="I44">
        <f t="shared" si="0"/>
        <v>4</v>
      </c>
      <c r="J44" t="str">
        <f t="shared" si="1"/>
        <v>Regular</v>
      </c>
      <c r="K44" t="str">
        <f t="shared" si="2"/>
        <v>Promoted</v>
      </c>
      <c r="L44" t="str">
        <f t="shared" si="3"/>
        <v>Employee</v>
      </c>
      <c r="M44">
        <f t="shared" si="6"/>
        <v>9</v>
      </c>
      <c r="N44" t="str">
        <f t="shared" si="5"/>
        <v>April</v>
      </c>
    </row>
    <row r="45" spans="1:14" x14ac:dyDescent="0.3">
      <c r="A45" s="2" t="s">
        <v>1073</v>
      </c>
      <c r="B45" t="s">
        <v>325</v>
      </c>
      <c r="C45" s="2" t="s">
        <v>53</v>
      </c>
      <c r="D45" s="2" t="s">
        <v>1945</v>
      </c>
      <c r="E45" s="2" t="s">
        <v>13</v>
      </c>
      <c r="F45" s="2" t="s">
        <v>14</v>
      </c>
      <c r="G45" s="3">
        <v>385</v>
      </c>
      <c r="H45" s="1" t="s">
        <v>1074</v>
      </c>
      <c r="I45">
        <f t="shared" si="0"/>
        <v>4</v>
      </c>
      <c r="J45" t="str">
        <f t="shared" si="1"/>
        <v>Regular</v>
      </c>
      <c r="K45" t="str">
        <f t="shared" si="2"/>
        <v>Promoted</v>
      </c>
      <c r="L45" t="str">
        <f t="shared" si="3"/>
        <v>Employee</v>
      </c>
      <c r="M45">
        <f t="shared" si="6"/>
        <v>4</v>
      </c>
      <c r="N45" t="str">
        <f t="shared" si="5"/>
        <v>April</v>
      </c>
    </row>
    <row r="46" spans="1:14" x14ac:dyDescent="0.3">
      <c r="A46" s="2" t="s">
        <v>910</v>
      </c>
      <c r="B46" t="s">
        <v>615</v>
      </c>
      <c r="C46" s="2" t="s">
        <v>53</v>
      </c>
      <c r="D46" s="2" t="s">
        <v>118</v>
      </c>
      <c r="E46" s="2" t="s">
        <v>158</v>
      </c>
      <c r="F46" s="2" t="s">
        <v>1945</v>
      </c>
      <c r="G46" s="3">
        <v>545.29999999999995</v>
      </c>
      <c r="H46" s="1" t="s">
        <v>911</v>
      </c>
      <c r="I46">
        <f t="shared" si="0"/>
        <v>4</v>
      </c>
      <c r="J46" t="str">
        <f t="shared" si="1"/>
        <v>Regular</v>
      </c>
      <c r="K46" t="str">
        <f t="shared" si="2"/>
        <v>Promoted</v>
      </c>
      <c r="L46" t="str">
        <f t="shared" si="3"/>
        <v>Known Employee</v>
      </c>
      <c r="M46">
        <f t="shared" si="6"/>
        <v>5</v>
      </c>
      <c r="N46" t="str">
        <f t="shared" si="5"/>
        <v>April</v>
      </c>
    </row>
    <row r="47" spans="1:14" x14ac:dyDescent="0.3">
      <c r="A47" s="2" t="s">
        <v>1912</v>
      </c>
      <c r="B47" t="s">
        <v>233</v>
      </c>
      <c r="C47" s="2" t="s">
        <v>35</v>
      </c>
      <c r="D47" s="2" t="s">
        <v>72</v>
      </c>
      <c r="E47" s="2" t="s">
        <v>13</v>
      </c>
      <c r="F47" s="2" t="s">
        <v>65</v>
      </c>
      <c r="G47" s="3">
        <v>380</v>
      </c>
      <c r="H47" s="1" t="s">
        <v>911</v>
      </c>
      <c r="I47">
        <f t="shared" si="0"/>
        <v>4</v>
      </c>
      <c r="J47" t="str">
        <f t="shared" si="1"/>
        <v>Regular</v>
      </c>
      <c r="K47" t="str">
        <f t="shared" si="2"/>
        <v>Promoted</v>
      </c>
      <c r="L47" t="str">
        <f t="shared" si="3"/>
        <v>Known Employee</v>
      </c>
      <c r="M47">
        <f t="shared" si="6"/>
        <v>6</v>
      </c>
      <c r="N47" t="str">
        <f t="shared" si="5"/>
        <v>April</v>
      </c>
    </row>
    <row r="48" spans="1:14" x14ac:dyDescent="0.3">
      <c r="A48" s="2" t="s">
        <v>1819</v>
      </c>
      <c r="B48" t="s">
        <v>1043</v>
      </c>
      <c r="C48" s="2" t="s">
        <v>35</v>
      </c>
      <c r="D48" s="2" t="s">
        <v>44</v>
      </c>
      <c r="E48" s="2" t="s">
        <v>13</v>
      </c>
      <c r="F48" s="2" t="s">
        <v>65</v>
      </c>
      <c r="G48" s="3">
        <v>559</v>
      </c>
      <c r="H48" s="1" t="s">
        <v>1820</v>
      </c>
      <c r="I48">
        <f t="shared" si="0"/>
        <v>4</v>
      </c>
      <c r="J48" t="str">
        <f t="shared" si="1"/>
        <v>Regular</v>
      </c>
      <c r="K48" t="str">
        <f t="shared" si="2"/>
        <v>Promoted</v>
      </c>
      <c r="L48" t="str">
        <f t="shared" si="3"/>
        <v>Known Employee</v>
      </c>
      <c r="M48">
        <f t="shared" si="6"/>
        <v>3</v>
      </c>
      <c r="N48" t="str">
        <f t="shared" si="5"/>
        <v>April</v>
      </c>
    </row>
    <row r="49" spans="1:14" x14ac:dyDescent="0.3">
      <c r="A49" s="2" t="s">
        <v>1580</v>
      </c>
      <c r="B49" t="s">
        <v>1198</v>
      </c>
      <c r="C49" s="2" t="s">
        <v>11</v>
      </c>
      <c r="D49" s="2" t="s">
        <v>87</v>
      </c>
      <c r="E49" s="2" t="s">
        <v>158</v>
      </c>
      <c r="F49" s="2" t="s">
        <v>25</v>
      </c>
      <c r="G49" s="3">
        <v>247</v>
      </c>
      <c r="H49" s="1" t="s">
        <v>637</v>
      </c>
      <c r="I49">
        <f t="shared" si="0"/>
        <v>4</v>
      </c>
      <c r="J49" t="str">
        <f t="shared" si="1"/>
        <v>Regular</v>
      </c>
      <c r="K49" t="str">
        <f t="shared" si="2"/>
        <v>Promoted</v>
      </c>
      <c r="L49" t="str">
        <f t="shared" si="3"/>
        <v>Known Employee</v>
      </c>
      <c r="M49">
        <f t="shared" si="6"/>
        <v>4</v>
      </c>
      <c r="N49" t="str">
        <f t="shared" si="5"/>
        <v>April</v>
      </c>
    </row>
    <row r="50" spans="1:14" x14ac:dyDescent="0.3">
      <c r="A50" s="2" t="s">
        <v>636</v>
      </c>
      <c r="B50" t="s">
        <v>520</v>
      </c>
      <c r="C50" s="2" t="s">
        <v>18</v>
      </c>
      <c r="D50" s="2" t="s">
        <v>23</v>
      </c>
      <c r="E50" s="2" t="s">
        <v>24</v>
      </c>
      <c r="F50" s="2" t="s">
        <v>65</v>
      </c>
      <c r="G50" s="3">
        <v>520.20000000000005</v>
      </c>
      <c r="H50" s="1" t="s">
        <v>637</v>
      </c>
      <c r="I50">
        <f t="shared" si="0"/>
        <v>4</v>
      </c>
      <c r="J50" t="str">
        <f t="shared" si="1"/>
        <v>Regular</v>
      </c>
      <c r="K50" t="str">
        <f t="shared" si="2"/>
        <v>Promoted</v>
      </c>
      <c r="L50" t="str">
        <f t="shared" si="3"/>
        <v>Known Employee</v>
      </c>
      <c r="M50">
        <f t="shared" si="6"/>
        <v>5</v>
      </c>
      <c r="N50" t="str">
        <f t="shared" si="5"/>
        <v>April</v>
      </c>
    </row>
    <row r="51" spans="1:14" x14ac:dyDescent="0.3">
      <c r="A51" s="2" t="s">
        <v>831</v>
      </c>
      <c r="B51" t="s">
        <v>833</v>
      </c>
      <c r="C51" s="2" t="s">
        <v>53</v>
      </c>
      <c r="D51" s="2" t="s">
        <v>76</v>
      </c>
      <c r="E51" s="2" t="s">
        <v>13</v>
      </c>
      <c r="F51" s="2" t="s">
        <v>1945</v>
      </c>
      <c r="G51" s="3">
        <v>426</v>
      </c>
      <c r="H51" s="1" t="s">
        <v>832</v>
      </c>
      <c r="I51">
        <f t="shared" si="0"/>
        <v>4</v>
      </c>
      <c r="J51" t="str">
        <f t="shared" si="1"/>
        <v>Regular</v>
      </c>
      <c r="K51" t="str">
        <f t="shared" si="2"/>
        <v>Promoted</v>
      </c>
      <c r="L51" t="str">
        <f t="shared" si="3"/>
        <v>Known Employee</v>
      </c>
      <c r="M51">
        <f t="shared" si="6"/>
        <v>4</v>
      </c>
      <c r="N51" t="str">
        <f t="shared" si="5"/>
        <v>April</v>
      </c>
    </row>
    <row r="52" spans="1:14" x14ac:dyDescent="0.3">
      <c r="A52" s="2" t="s">
        <v>1895</v>
      </c>
      <c r="B52" t="s">
        <v>371</v>
      </c>
      <c r="C52" s="2" t="s">
        <v>35</v>
      </c>
      <c r="D52" s="2" t="s">
        <v>72</v>
      </c>
      <c r="E52" s="2" t="s">
        <v>13</v>
      </c>
      <c r="F52" s="2" t="s">
        <v>40</v>
      </c>
      <c r="G52" s="3">
        <v>518</v>
      </c>
      <c r="H52" s="1" t="s">
        <v>832</v>
      </c>
      <c r="I52">
        <f t="shared" si="0"/>
        <v>4</v>
      </c>
      <c r="J52" t="str">
        <f t="shared" si="1"/>
        <v>Regular</v>
      </c>
      <c r="K52" t="str">
        <f t="shared" si="2"/>
        <v>Promoted</v>
      </c>
      <c r="L52" t="str">
        <f t="shared" si="3"/>
        <v>Known Employee</v>
      </c>
      <c r="M52">
        <f t="shared" si="6"/>
        <v>5</v>
      </c>
      <c r="N52" t="str">
        <f t="shared" si="5"/>
        <v>April</v>
      </c>
    </row>
    <row r="53" spans="1:14" x14ac:dyDescent="0.3">
      <c r="A53" s="2" t="s">
        <v>331</v>
      </c>
      <c r="B53" t="s">
        <v>261</v>
      </c>
      <c r="C53" s="2" t="s">
        <v>18</v>
      </c>
      <c r="D53" s="2" t="s">
        <v>87</v>
      </c>
      <c r="E53" s="2" t="s">
        <v>1946</v>
      </c>
      <c r="F53" s="2" t="s">
        <v>25</v>
      </c>
      <c r="G53" s="3">
        <v>520</v>
      </c>
      <c r="H53" s="1" t="s">
        <v>332</v>
      </c>
      <c r="I53">
        <f t="shared" si="0"/>
        <v>4</v>
      </c>
      <c r="J53" t="str">
        <f t="shared" si="1"/>
        <v>Regular</v>
      </c>
      <c r="K53" t="str">
        <f t="shared" si="2"/>
        <v>Not Promoted</v>
      </c>
      <c r="L53" t="str">
        <f t="shared" si="3"/>
        <v>Known Employee</v>
      </c>
      <c r="M53">
        <f t="shared" si="6"/>
        <v>4</v>
      </c>
      <c r="N53" t="str">
        <f t="shared" si="5"/>
        <v>April</v>
      </c>
    </row>
    <row r="54" spans="1:14" x14ac:dyDescent="0.3">
      <c r="A54" s="2" t="s">
        <v>1459</v>
      </c>
      <c r="B54" t="s">
        <v>396</v>
      </c>
      <c r="C54" s="2" t="s">
        <v>53</v>
      </c>
      <c r="D54" s="2" t="s">
        <v>1945</v>
      </c>
      <c r="E54" s="2" t="s">
        <v>13</v>
      </c>
      <c r="F54" s="2" t="s">
        <v>40</v>
      </c>
      <c r="G54" s="3">
        <v>274</v>
      </c>
      <c r="H54" s="1" t="s">
        <v>1460</v>
      </c>
      <c r="I54">
        <f t="shared" si="0"/>
        <v>4</v>
      </c>
      <c r="J54" t="str">
        <f t="shared" si="1"/>
        <v>Regular</v>
      </c>
      <c r="K54" t="str">
        <f t="shared" si="2"/>
        <v>Promoted</v>
      </c>
      <c r="L54" t="str">
        <f t="shared" si="3"/>
        <v>Employee</v>
      </c>
      <c r="M54">
        <f t="shared" si="6"/>
        <v>6</v>
      </c>
      <c r="N54" t="str">
        <f t="shared" si="5"/>
        <v>April</v>
      </c>
    </row>
    <row r="55" spans="1:14" x14ac:dyDescent="0.3">
      <c r="A55" s="2" t="s">
        <v>1455</v>
      </c>
      <c r="B55" t="s">
        <v>376</v>
      </c>
      <c r="C55" s="2" t="s">
        <v>35</v>
      </c>
      <c r="D55" s="2" t="s">
        <v>36</v>
      </c>
      <c r="E55" s="2" t="s">
        <v>24</v>
      </c>
      <c r="F55" s="2" t="s">
        <v>25</v>
      </c>
      <c r="G55" s="3">
        <v>126</v>
      </c>
      <c r="H55" s="1" t="s">
        <v>1456</v>
      </c>
      <c r="I55">
        <f t="shared" si="0"/>
        <v>4</v>
      </c>
      <c r="J55" t="str">
        <f t="shared" si="1"/>
        <v>Regular</v>
      </c>
      <c r="K55" t="str">
        <f t="shared" si="2"/>
        <v>Promoted</v>
      </c>
      <c r="L55" t="str">
        <f t="shared" si="3"/>
        <v>Known Employee</v>
      </c>
      <c r="M55">
        <f t="shared" si="6"/>
        <v>3</v>
      </c>
      <c r="N55" t="str">
        <f t="shared" si="5"/>
        <v>April</v>
      </c>
    </row>
    <row r="56" spans="1:14" x14ac:dyDescent="0.3">
      <c r="A56" s="2" t="s">
        <v>678</v>
      </c>
      <c r="B56" t="s">
        <v>381</v>
      </c>
      <c r="C56" s="2" t="s">
        <v>18</v>
      </c>
      <c r="D56" s="2" t="s">
        <v>295</v>
      </c>
      <c r="E56" s="2" t="s">
        <v>24</v>
      </c>
      <c r="F56" s="2" t="s">
        <v>40</v>
      </c>
      <c r="G56" s="3">
        <v>294.3</v>
      </c>
      <c r="H56" s="1" t="s">
        <v>679</v>
      </c>
      <c r="I56">
        <f t="shared" si="0"/>
        <v>5</v>
      </c>
      <c r="J56" t="str">
        <f t="shared" si="1"/>
        <v>Regular</v>
      </c>
      <c r="K56" t="str">
        <f t="shared" si="2"/>
        <v>Promoted</v>
      </c>
      <c r="L56" t="str">
        <f t="shared" si="3"/>
        <v>Known Employee</v>
      </c>
      <c r="M56">
        <f t="shared" si="6"/>
        <v>5</v>
      </c>
      <c r="N56" t="str">
        <f t="shared" si="5"/>
        <v>May</v>
      </c>
    </row>
    <row r="57" spans="1:14" x14ac:dyDescent="0.3">
      <c r="A57" s="2" t="s">
        <v>1368</v>
      </c>
      <c r="B57" t="s">
        <v>57</v>
      </c>
      <c r="C57" s="2" t="s">
        <v>29</v>
      </c>
      <c r="D57" s="2" t="s">
        <v>123</v>
      </c>
      <c r="E57" s="2" t="s">
        <v>13</v>
      </c>
      <c r="F57" s="2" t="s">
        <v>25</v>
      </c>
      <c r="G57" s="3">
        <v>170</v>
      </c>
      <c r="H57" s="1" t="s">
        <v>1369</v>
      </c>
      <c r="I57">
        <f t="shared" si="0"/>
        <v>5</v>
      </c>
      <c r="J57" t="str">
        <f t="shared" si="1"/>
        <v>Regular</v>
      </c>
      <c r="K57" t="str">
        <f t="shared" si="2"/>
        <v>Promoted</v>
      </c>
      <c r="L57" t="str">
        <f t="shared" si="3"/>
        <v>Known Employee</v>
      </c>
      <c r="M57">
        <f t="shared" si="6"/>
        <v>8</v>
      </c>
      <c r="N57" t="str">
        <f t="shared" si="5"/>
        <v>May</v>
      </c>
    </row>
    <row r="58" spans="1:14" x14ac:dyDescent="0.3">
      <c r="A58" s="2" t="s">
        <v>1448</v>
      </c>
      <c r="B58" t="s">
        <v>681</v>
      </c>
      <c r="C58" s="2" t="s">
        <v>29</v>
      </c>
      <c r="D58" s="2" t="s">
        <v>200</v>
      </c>
      <c r="E58" s="2" t="s">
        <v>13</v>
      </c>
      <c r="F58" s="2" t="s">
        <v>14</v>
      </c>
      <c r="G58" s="3">
        <v>346</v>
      </c>
      <c r="H58" s="1" t="s">
        <v>1449</v>
      </c>
      <c r="I58">
        <f t="shared" si="0"/>
        <v>5</v>
      </c>
      <c r="J58" t="str">
        <f t="shared" si="1"/>
        <v>Regular</v>
      </c>
      <c r="K58" t="str">
        <f t="shared" si="2"/>
        <v>Promoted</v>
      </c>
      <c r="L58" t="str">
        <f t="shared" si="3"/>
        <v>Known Employee</v>
      </c>
      <c r="M58">
        <f t="shared" si="6"/>
        <v>4</v>
      </c>
      <c r="N58" t="str">
        <f t="shared" si="5"/>
        <v>May</v>
      </c>
    </row>
    <row r="59" spans="1:14" x14ac:dyDescent="0.3">
      <c r="A59" s="2" t="s">
        <v>1899</v>
      </c>
      <c r="B59" t="s">
        <v>736</v>
      </c>
      <c r="C59" s="2" t="s">
        <v>18</v>
      </c>
      <c r="D59" s="2" t="s">
        <v>295</v>
      </c>
      <c r="E59" s="2" t="s">
        <v>13</v>
      </c>
      <c r="F59" s="2" t="s">
        <v>40</v>
      </c>
      <c r="G59" s="3">
        <v>193</v>
      </c>
      <c r="H59" s="1" t="s">
        <v>1900</v>
      </c>
      <c r="I59">
        <f t="shared" si="0"/>
        <v>5</v>
      </c>
      <c r="J59" t="str">
        <f t="shared" si="1"/>
        <v>Regular</v>
      </c>
      <c r="K59" t="str">
        <f t="shared" si="2"/>
        <v>Promoted</v>
      </c>
      <c r="L59" t="str">
        <f t="shared" si="3"/>
        <v>Known Employee</v>
      </c>
      <c r="M59">
        <f t="shared" si="6"/>
        <v>8</v>
      </c>
      <c r="N59" t="str">
        <f t="shared" si="5"/>
        <v>May</v>
      </c>
    </row>
    <row r="60" spans="1:14" x14ac:dyDescent="0.3">
      <c r="A60" s="2" t="s">
        <v>50</v>
      </c>
      <c r="B60" t="s">
        <v>52</v>
      </c>
      <c r="C60" s="2" t="s">
        <v>53</v>
      </c>
      <c r="D60" s="2" t="s">
        <v>1945</v>
      </c>
      <c r="E60" s="2" t="s">
        <v>54</v>
      </c>
      <c r="F60" s="2" t="s">
        <v>25</v>
      </c>
      <c r="G60" s="3">
        <v>357</v>
      </c>
      <c r="H60" s="1" t="s">
        <v>51</v>
      </c>
      <c r="I60">
        <f t="shared" si="0"/>
        <v>5</v>
      </c>
      <c r="J60" t="str">
        <f t="shared" si="1"/>
        <v>Regular</v>
      </c>
      <c r="K60" t="str">
        <f t="shared" si="2"/>
        <v>Promoted</v>
      </c>
      <c r="L60" t="str">
        <f t="shared" si="3"/>
        <v>Employee</v>
      </c>
      <c r="M60">
        <f t="shared" si="6"/>
        <v>4</v>
      </c>
      <c r="N60" t="str">
        <f t="shared" si="5"/>
        <v>May</v>
      </c>
    </row>
    <row r="61" spans="1:14" x14ac:dyDescent="0.3">
      <c r="A61" s="2" t="s">
        <v>412</v>
      </c>
      <c r="B61" t="s">
        <v>414</v>
      </c>
      <c r="C61" s="2" t="s">
        <v>29</v>
      </c>
      <c r="D61" s="2" t="s">
        <v>200</v>
      </c>
      <c r="E61" s="2" t="s">
        <v>13</v>
      </c>
      <c r="F61" s="2" t="s">
        <v>25</v>
      </c>
      <c r="G61" s="3">
        <v>529</v>
      </c>
      <c r="H61" s="1" t="s">
        <v>413</v>
      </c>
      <c r="I61">
        <f t="shared" si="0"/>
        <v>5</v>
      </c>
      <c r="J61" t="str">
        <f t="shared" si="1"/>
        <v>Regular</v>
      </c>
      <c r="K61" t="str">
        <f t="shared" si="2"/>
        <v>Promoted</v>
      </c>
      <c r="L61" t="str">
        <f t="shared" si="3"/>
        <v>Known Employee</v>
      </c>
      <c r="M61">
        <f t="shared" si="6"/>
        <v>2</v>
      </c>
      <c r="N61" t="str">
        <f t="shared" si="5"/>
        <v>May</v>
      </c>
    </row>
    <row r="62" spans="1:14" x14ac:dyDescent="0.3">
      <c r="A62" s="2" t="s">
        <v>803</v>
      </c>
      <c r="B62" t="s">
        <v>482</v>
      </c>
      <c r="C62" s="2" t="s">
        <v>53</v>
      </c>
      <c r="D62" s="2" t="s">
        <v>138</v>
      </c>
      <c r="E62" s="2" t="s">
        <v>13</v>
      </c>
      <c r="F62" s="2" t="s">
        <v>25</v>
      </c>
      <c r="G62" s="3">
        <v>250</v>
      </c>
      <c r="H62" s="1" t="s">
        <v>395</v>
      </c>
      <c r="I62">
        <f t="shared" si="0"/>
        <v>5</v>
      </c>
      <c r="J62" t="str">
        <f t="shared" si="1"/>
        <v>Regular</v>
      </c>
      <c r="K62" t="str">
        <f t="shared" si="2"/>
        <v>Promoted</v>
      </c>
      <c r="L62" t="str">
        <f t="shared" si="3"/>
        <v>Known Employee</v>
      </c>
      <c r="M62">
        <f t="shared" si="6"/>
        <v>3</v>
      </c>
      <c r="N62" t="str">
        <f t="shared" si="5"/>
        <v>May</v>
      </c>
    </row>
    <row r="63" spans="1:14" x14ac:dyDescent="0.3">
      <c r="A63" s="2" t="s">
        <v>902</v>
      </c>
      <c r="B63" t="s">
        <v>454</v>
      </c>
      <c r="C63" s="2" t="s">
        <v>18</v>
      </c>
      <c r="D63" s="2" t="s">
        <v>23</v>
      </c>
      <c r="E63" s="2" t="s">
        <v>24</v>
      </c>
      <c r="F63" s="2" t="s">
        <v>40</v>
      </c>
      <c r="G63" s="3">
        <v>279</v>
      </c>
      <c r="H63" s="1" t="s">
        <v>903</v>
      </c>
      <c r="I63">
        <f t="shared" si="0"/>
        <v>5</v>
      </c>
      <c r="J63" t="str">
        <f t="shared" si="1"/>
        <v>Regular</v>
      </c>
      <c r="K63" t="str">
        <f t="shared" si="2"/>
        <v>Promoted</v>
      </c>
      <c r="L63" t="str">
        <f t="shared" si="3"/>
        <v>Known Employee</v>
      </c>
      <c r="M63">
        <f t="shared" si="6"/>
        <v>4</v>
      </c>
      <c r="N63" t="str">
        <f t="shared" si="5"/>
        <v>May</v>
      </c>
    </row>
    <row r="64" spans="1:14" x14ac:dyDescent="0.3">
      <c r="A64" s="2" t="s">
        <v>1014</v>
      </c>
      <c r="B64" t="s">
        <v>825</v>
      </c>
      <c r="C64" s="2" t="s">
        <v>18</v>
      </c>
      <c r="D64" s="2" t="s">
        <v>12</v>
      </c>
      <c r="E64" s="2" t="s">
        <v>13</v>
      </c>
      <c r="F64" s="2" t="s">
        <v>25</v>
      </c>
      <c r="G64" s="3">
        <v>416</v>
      </c>
      <c r="H64" s="1" t="s">
        <v>903</v>
      </c>
      <c r="I64">
        <f t="shared" si="0"/>
        <v>5</v>
      </c>
      <c r="J64" t="str">
        <f t="shared" si="1"/>
        <v>Regular</v>
      </c>
      <c r="K64" t="str">
        <f t="shared" si="2"/>
        <v>Promoted</v>
      </c>
      <c r="L64" t="str">
        <f t="shared" si="3"/>
        <v>Known Employee</v>
      </c>
      <c r="M64">
        <f t="shared" si="6"/>
        <v>4</v>
      </c>
      <c r="N64" t="str">
        <f t="shared" si="5"/>
        <v>May</v>
      </c>
    </row>
    <row r="65" spans="1:14" x14ac:dyDescent="0.3">
      <c r="A65" s="2" t="s">
        <v>311</v>
      </c>
      <c r="B65" t="s">
        <v>313</v>
      </c>
      <c r="C65" s="2" t="s">
        <v>18</v>
      </c>
      <c r="D65" s="2" t="s">
        <v>12</v>
      </c>
      <c r="E65" s="2" t="s">
        <v>54</v>
      </c>
      <c r="F65" s="2" t="s">
        <v>65</v>
      </c>
      <c r="G65" s="3">
        <v>363.8</v>
      </c>
      <c r="H65" s="1" t="s">
        <v>312</v>
      </c>
      <c r="I65">
        <f t="shared" si="0"/>
        <v>5</v>
      </c>
      <c r="J65" t="str">
        <f t="shared" si="1"/>
        <v>Regular</v>
      </c>
      <c r="K65" t="str">
        <f t="shared" si="2"/>
        <v>Promoted</v>
      </c>
      <c r="L65" t="str">
        <f t="shared" si="3"/>
        <v>Known Employee</v>
      </c>
      <c r="M65">
        <f t="shared" si="6"/>
        <v>3</v>
      </c>
      <c r="N65" t="str">
        <f t="shared" si="5"/>
        <v>May</v>
      </c>
    </row>
    <row r="66" spans="1:14" x14ac:dyDescent="0.3">
      <c r="A66" s="2" t="s">
        <v>1385</v>
      </c>
      <c r="B66" t="s">
        <v>396</v>
      </c>
      <c r="C66" s="2" t="s">
        <v>157</v>
      </c>
      <c r="D66" s="2" t="s">
        <v>104</v>
      </c>
      <c r="E66" s="2" t="s">
        <v>13</v>
      </c>
      <c r="F66" s="2" t="s">
        <v>40</v>
      </c>
      <c r="G66" s="3">
        <v>255</v>
      </c>
      <c r="H66" s="1" t="s">
        <v>1965</v>
      </c>
      <c r="I66">
        <f t="shared" ref="I66:I129" si="7">MONTH(H66)</f>
        <v>5</v>
      </c>
      <c r="J66" t="str">
        <f t="shared" ref="J66:J129" si="8">IF(OR(I66=10,I66=11),"Diwali",IF(I66=9,"Navratri",IF(I66=8,"Rakshabandhan",IF(I66=3,"Holi",IF(I66=1,"Makar Sankranti","Regular")))))</f>
        <v>Regular</v>
      </c>
      <c r="K66" t="str">
        <f t="shared" ref="K66:K129" si="9" xml:space="preserve"> IF(E66="No Promotion", "Not Promoted", "Promoted")</f>
        <v>Promoted</v>
      </c>
      <c r="L66" t="str">
        <f t="shared" ref="L66:L129" si="10" xml:space="preserve"> IF(D66="Unknown","Employee","Known Employee")</f>
        <v>Known Employee</v>
      </c>
      <c r="M66">
        <f t="shared" si="6"/>
        <v>6</v>
      </c>
      <c r="N66" t="str">
        <f t="shared" si="5"/>
        <v>May</v>
      </c>
    </row>
    <row r="67" spans="1:14" x14ac:dyDescent="0.3">
      <c r="A67" s="2" t="s">
        <v>695</v>
      </c>
      <c r="B67" t="s">
        <v>697</v>
      </c>
      <c r="C67" s="2" t="s">
        <v>35</v>
      </c>
      <c r="D67" s="2" t="s">
        <v>36</v>
      </c>
      <c r="E67" s="2" t="s">
        <v>322</v>
      </c>
      <c r="F67" s="2" t="s">
        <v>25</v>
      </c>
      <c r="G67" s="3">
        <v>441</v>
      </c>
      <c r="H67" s="1" t="s">
        <v>696</v>
      </c>
      <c r="I67">
        <f t="shared" si="7"/>
        <v>6</v>
      </c>
      <c r="J67" t="str">
        <f t="shared" si="8"/>
        <v>Regular</v>
      </c>
      <c r="K67" t="str">
        <f t="shared" si="9"/>
        <v>Promoted</v>
      </c>
      <c r="L67" t="str">
        <f t="shared" si="10"/>
        <v>Known Employee</v>
      </c>
      <c r="M67">
        <f t="shared" si="6"/>
        <v>3</v>
      </c>
      <c r="N67" t="str">
        <f t="shared" ref="N67:N130" si="11">TEXT(DATE(2000, I67, 1), "mmmm")</f>
        <v>June</v>
      </c>
    </row>
    <row r="68" spans="1:14" x14ac:dyDescent="0.3">
      <c r="A68" s="2" t="s">
        <v>966</v>
      </c>
      <c r="B68" t="s">
        <v>968</v>
      </c>
      <c r="C68" s="2" t="s">
        <v>35</v>
      </c>
      <c r="D68" s="2" t="s">
        <v>36</v>
      </c>
      <c r="E68" s="2" t="s">
        <v>158</v>
      </c>
      <c r="F68" s="2" t="s">
        <v>25</v>
      </c>
      <c r="G68" s="3">
        <v>330.6</v>
      </c>
      <c r="H68" s="1" t="s">
        <v>967</v>
      </c>
      <c r="I68">
        <f t="shared" si="7"/>
        <v>6</v>
      </c>
      <c r="J68" t="str">
        <f t="shared" si="8"/>
        <v>Regular</v>
      </c>
      <c r="K68" t="str">
        <f t="shared" si="9"/>
        <v>Promoted</v>
      </c>
      <c r="L68" t="str">
        <f t="shared" si="10"/>
        <v>Known Employee</v>
      </c>
      <c r="M68">
        <f t="shared" si="6"/>
        <v>3</v>
      </c>
      <c r="N68" t="str">
        <f t="shared" si="11"/>
        <v>June</v>
      </c>
    </row>
    <row r="69" spans="1:14" x14ac:dyDescent="0.3">
      <c r="A69" s="2" t="s">
        <v>978</v>
      </c>
      <c r="B69" t="s">
        <v>63</v>
      </c>
      <c r="C69" s="2" t="s">
        <v>35</v>
      </c>
      <c r="D69" s="2" t="s">
        <v>36</v>
      </c>
      <c r="E69" s="2" t="s">
        <v>13</v>
      </c>
      <c r="F69" s="2" t="s">
        <v>40</v>
      </c>
      <c r="G69" s="3">
        <v>960</v>
      </c>
      <c r="H69" s="1" t="s">
        <v>979</v>
      </c>
      <c r="I69">
        <f t="shared" si="7"/>
        <v>6</v>
      </c>
      <c r="J69" t="str">
        <f t="shared" si="8"/>
        <v>Regular</v>
      </c>
      <c r="K69" t="str">
        <f t="shared" si="9"/>
        <v>Promoted</v>
      </c>
      <c r="L69" t="str">
        <f t="shared" si="10"/>
        <v>Known Employee</v>
      </c>
      <c r="M69">
        <f t="shared" si="6"/>
        <v>5</v>
      </c>
      <c r="N69" t="str">
        <f t="shared" si="11"/>
        <v>June</v>
      </c>
    </row>
    <row r="70" spans="1:14" x14ac:dyDescent="0.3">
      <c r="A70" s="2" t="s">
        <v>1409</v>
      </c>
      <c r="B70" t="s">
        <v>352</v>
      </c>
      <c r="C70" s="2" t="s">
        <v>18</v>
      </c>
      <c r="D70" s="2" t="s">
        <v>19</v>
      </c>
      <c r="E70" s="2" t="s">
        <v>13</v>
      </c>
      <c r="F70" s="2" t="s">
        <v>65</v>
      </c>
      <c r="G70" s="3">
        <v>376</v>
      </c>
      <c r="H70" s="1" t="s">
        <v>979</v>
      </c>
      <c r="I70">
        <f t="shared" si="7"/>
        <v>6</v>
      </c>
      <c r="J70" t="str">
        <f t="shared" si="8"/>
        <v>Regular</v>
      </c>
      <c r="K70" t="str">
        <f t="shared" si="9"/>
        <v>Promoted</v>
      </c>
      <c r="L70" t="str">
        <f t="shared" si="10"/>
        <v>Known Employee</v>
      </c>
      <c r="M70">
        <f t="shared" si="6"/>
        <v>3</v>
      </c>
      <c r="N70" t="str">
        <f t="shared" si="11"/>
        <v>June</v>
      </c>
    </row>
    <row r="71" spans="1:14" x14ac:dyDescent="0.3">
      <c r="A71" s="2" t="s">
        <v>638</v>
      </c>
      <c r="B71" t="s">
        <v>474</v>
      </c>
      <c r="C71" s="2" t="s">
        <v>157</v>
      </c>
      <c r="D71" s="2" t="s">
        <v>104</v>
      </c>
      <c r="E71" s="2" t="s">
        <v>158</v>
      </c>
      <c r="F71" s="2" t="s">
        <v>25</v>
      </c>
      <c r="G71" s="3">
        <v>90.25</v>
      </c>
      <c r="H71" s="1" t="s">
        <v>639</v>
      </c>
      <c r="I71">
        <f t="shared" si="7"/>
        <v>6</v>
      </c>
      <c r="J71" t="str">
        <f t="shared" si="8"/>
        <v>Regular</v>
      </c>
      <c r="K71" t="str">
        <f t="shared" si="9"/>
        <v>Promoted</v>
      </c>
      <c r="L71" t="str">
        <f t="shared" si="10"/>
        <v>Known Employee</v>
      </c>
      <c r="M71">
        <f t="shared" si="6"/>
        <v>3</v>
      </c>
      <c r="N71" t="str">
        <f t="shared" si="11"/>
        <v>June</v>
      </c>
    </row>
    <row r="72" spans="1:14" x14ac:dyDescent="0.3">
      <c r="A72" s="2" t="s">
        <v>1033</v>
      </c>
      <c r="B72" t="s">
        <v>186</v>
      </c>
      <c r="C72" s="2" t="s">
        <v>53</v>
      </c>
      <c r="D72" s="2" t="s">
        <v>118</v>
      </c>
      <c r="E72" s="2" t="s">
        <v>13</v>
      </c>
      <c r="F72" s="2" t="s">
        <v>65</v>
      </c>
      <c r="G72" s="3">
        <v>215</v>
      </c>
      <c r="H72" s="1" t="s">
        <v>639</v>
      </c>
      <c r="I72">
        <f t="shared" si="7"/>
        <v>6</v>
      </c>
      <c r="J72" t="str">
        <f t="shared" si="8"/>
        <v>Regular</v>
      </c>
      <c r="K72" t="str">
        <f t="shared" si="9"/>
        <v>Promoted</v>
      </c>
      <c r="L72" t="str">
        <f t="shared" si="10"/>
        <v>Known Employee</v>
      </c>
      <c r="M72">
        <f t="shared" si="6"/>
        <v>7</v>
      </c>
      <c r="N72" t="str">
        <f t="shared" si="11"/>
        <v>June</v>
      </c>
    </row>
    <row r="73" spans="1:14" x14ac:dyDescent="0.3">
      <c r="A73" s="2" t="s">
        <v>1823</v>
      </c>
      <c r="B73" t="s">
        <v>349</v>
      </c>
      <c r="C73" s="2" t="s">
        <v>53</v>
      </c>
      <c r="D73" s="2" t="s">
        <v>76</v>
      </c>
      <c r="E73" s="2" t="s">
        <v>24</v>
      </c>
      <c r="F73" s="2" t="s">
        <v>65</v>
      </c>
      <c r="G73" s="3">
        <v>175.5</v>
      </c>
      <c r="H73" s="1" t="s">
        <v>639</v>
      </c>
      <c r="I73">
        <f t="shared" si="7"/>
        <v>6</v>
      </c>
      <c r="J73" t="str">
        <f t="shared" si="8"/>
        <v>Regular</v>
      </c>
      <c r="K73" t="str">
        <f t="shared" si="9"/>
        <v>Promoted</v>
      </c>
      <c r="L73" t="str">
        <f t="shared" si="10"/>
        <v>Known Employee</v>
      </c>
      <c r="M73">
        <f t="shared" si="6"/>
        <v>6</v>
      </c>
      <c r="N73" t="str">
        <f t="shared" si="11"/>
        <v>June</v>
      </c>
    </row>
    <row r="74" spans="1:14" x14ac:dyDescent="0.3">
      <c r="A74" s="2" t="s">
        <v>1274</v>
      </c>
      <c r="B74" t="s">
        <v>710</v>
      </c>
      <c r="C74" s="2" t="s">
        <v>18</v>
      </c>
      <c r="D74" s="2" t="s">
        <v>295</v>
      </c>
      <c r="E74" s="2" t="s">
        <v>13</v>
      </c>
      <c r="F74" s="2" t="s">
        <v>40</v>
      </c>
      <c r="G74" s="3">
        <v>201</v>
      </c>
      <c r="H74" s="1" t="s">
        <v>1008</v>
      </c>
      <c r="I74">
        <f t="shared" si="7"/>
        <v>6</v>
      </c>
      <c r="J74" t="str">
        <f t="shared" si="8"/>
        <v>Regular</v>
      </c>
      <c r="K74" t="str">
        <f t="shared" si="9"/>
        <v>Promoted</v>
      </c>
      <c r="L74" t="str">
        <f t="shared" si="10"/>
        <v>Known Employee</v>
      </c>
      <c r="M74">
        <f t="shared" ref="M74:M137" si="12">COUNTIF($B$1:$B$805, B74)</f>
        <v>5</v>
      </c>
      <c r="N74" t="str">
        <f t="shared" si="11"/>
        <v>June</v>
      </c>
    </row>
    <row r="75" spans="1:14" x14ac:dyDescent="0.3">
      <c r="A75" s="2" t="s">
        <v>1342</v>
      </c>
      <c r="B75" t="s">
        <v>186</v>
      </c>
      <c r="C75" s="2" t="s">
        <v>29</v>
      </c>
      <c r="D75" s="2" t="s">
        <v>168</v>
      </c>
      <c r="E75" s="2" t="s">
        <v>1946</v>
      </c>
      <c r="F75" s="2" t="s">
        <v>40</v>
      </c>
      <c r="G75" s="3">
        <v>55.25</v>
      </c>
      <c r="H75" s="1" t="s">
        <v>1008</v>
      </c>
      <c r="I75">
        <f t="shared" si="7"/>
        <v>6</v>
      </c>
      <c r="J75" t="str">
        <f t="shared" si="8"/>
        <v>Regular</v>
      </c>
      <c r="K75" t="str">
        <f t="shared" si="9"/>
        <v>Not Promoted</v>
      </c>
      <c r="L75" t="str">
        <f t="shared" si="10"/>
        <v>Known Employee</v>
      </c>
      <c r="M75">
        <f t="shared" si="12"/>
        <v>7</v>
      </c>
      <c r="N75" t="str">
        <f t="shared" si="11"/>
        <v>June</v>
      </c>
    </row>
    <row r="76" spans="1:14" x14ac:dyDescent="0.3">
      <c r="A76" s="2" t="s">
        <v>1928</v>
      </c>
      <c r="B76" t="s">
        <v>196</v>
      </c>
      <c r="C76" s="2" t="s">
        <v>53</v>
      </c>
      <c r="D76" s="2" t="s">
        <v>76</v>
      </c>
      <c r="E76" s="2" t="s">
        <v>13</v>
      </c>
      <c r="F76" s="2" t="s">
        <v>25</v>
      </c>
      <c r="G76" s="3">
        <v>551</v>
      </c>
      <c r="H76" s="1" t="s">
        <v>1008</v>
      </c>
      <c r="I76">
        <f t="shared" si="7"/>
        <v>6</v>
      </c>
      <c r="J76" t="str">
        <f t="shared" si="8"/>
        <v>Regular</v>
      </c>
      <c r="K76" t="str">
        <f t="shared" si="9"/>
        <v>Promoted</v>
      </c>
      <c r="L76" t="str">
        <f t="shared" si="10"/>
        <v>Known Employee</v>
      </c>
      <c r="M76">
        <f t="shared" si="12"/>
        <v>8</v>
      </c>
      <c r="N76" t="str">
        <f t="shared" si="11"/>
        <v>June</v>
      </c>
    </row>
    <row r="77" spans="1:14" x14ac:dyDescent="0.3">
      <c r="A77" s="2" t="s">
        <v>1410</v>
      </c>
      <c r="B77" t="s">
        <v>219</v>
      </c>
      <c r="C77" s="2" t="s">
        <v>29</v>
      </c>
      <c r="D77" s="2" t="s">
        <v>49</v>
      </c>
      <c r="E77" s="2" t="s">
        <v>64</v>
      </c>
      <c r="F77" s="2" t="s">
        <v>1945</v>
      </c>
      <c r="G77" s="3">
        <v>68</v>
      </c>
      <c r="H77" s="1" t="s">
        <v>1008</v>
      </c>
      <c r="I77">
        <f t="shared" si="7"/>
        <v>6</v>
      </c>
      <c r="J77" t="str">
        <f t="shared" si="8"/>
        <v>Regular</v>
      </c>
      <c r="K77" t="str">
        <f t="shared" si="9"/>
        <v>Promoted</v>
      </c>
      <c r="L77" t="str">
        <f t="shared" si="10"/>
        <v>Known Employee</v>
      </c>
      <c r="M77">
        <f t="shared" si="12"/>
        <v>4</v>
      </c>
      <c r="N77" t="str">
        <f t="shared" si="11"/>
        <v>June</v>
      </c>
    </row>
    <row r="78" spans="1:14" x14ac:dyDescent="0.3">
      <c r="A78" s="2" t="s">
        <v>26</v>
      </c>
      <c r="B78" t="s">
        <v>28</v>
      </c>
      <c r="C78" s="2" t="s">
        <v>29</v>
      </c>
      <c r="D78" s="2" t="s">
        <v>30</v>
      </c>
      <c r="E78" s="2" t="s">
        <v>13</v>
      </c>
      <c r="F78" s="2" t="s">
        <v>1945</v>
      </c>
      <c r="G78" s="3">
        <v>285</v>
      </c>
      <c r="H78" s="1" t="s">
        <v>27</v>
      </c>
      <c r="I78">
        <f t="shared" si="7"/>
        <v>6</v>
      </c>
      <c r="J78" t="str">
        <f t="shared" si="8"/>
        <v>Regular</v>
      </c>
      <c r="K78" t="str">
        <f t="shared" si="9"/>
        <v>Promoted</v>
      </c>
      <c r="L78" t="str">
        <f t="shared" si="10"/>
        <v>Known Employee</v>
      </c>
      <c r="M78">
        <f t="shared" si="12"/>
        <v>4</v>
      </c>
      <c r="N78" t="str">
        <f t="shared" si="11"/>
        <v>June</v>
      </c>
    </row>
    <row r="79" spans="1:14" x14ac:dyDescent="0.3">
      <c r="A79" s="2" t="s">
        <v>1583</v>
      </c>
      <c r="B79" t="s">
        <v>1585</v>
      </c>
      <c r="C79" s="2" t="s">
        <v>18</v>
      </c>
      <c r="D79" s="2" t="s">
        <v>12</v>
      </c>
      <c r="E79" s="2" t="s">
        <v>13</v>
      </c>
      <c r="F79" s="2" t="s">
        <v>65</v>
      </c>
      <c r="G79" s="3">
        <v>715</v>
      </c>
      <c r="H79" s="1" t="s">
        <v>1584</v>
      </c>
      <c r="I79">
        <f t="shared" si="7"/>
        <v>6</v>
      </c>
      <c r="J79" t="str">
        <f t="shared" si="8"/>
        <v>Regular</v>
      </c>
      <c r="K79" t="str">
        <f t="shared" si="9"/>
        <v>Promoted</v>
      </c>
      <c r="L79" t="str">
        <f t="shared" si="10"/>
        <v>Known Employee</v>
      </c>
      <c r="M79">
        <f t="shared" si="12"/>
        <v>2</v>
      </c>
      <c r="N79" t="str">
        <f t="shared" si="11"/>
        <v>June</v>
      </c>
    </row>
    <row r="80" spans="1:14" x14ac:dyDescent="0.3">
      <c r="A80" s="2" t="s">
        <v>734</v>
      </c>
      <c r="B80" t="s">
        <v>736</v>
      </c>
      <c r="C80" s="2" t="s">
        <v>29</v>
      </c>
      <c r="D80" s="2" t="s">
        <v>200</v>
      </c>
      <c r="E80" s="2" t="s">
        <v>64</v>
      </c>
      <c r="F80" s="2" t="s">
        <v>14</v>
      </c>
      <c r="G80" s="3">
        <v>225</v>
      </c>
      <c r="H80" s="1" t="s">
        <v>735</v>
      </c>
      <c r="I80">
        <f t="shared" si="7"/>
        <v>6</v>
      </c>
      <c r="J80" t="str">
        <f t="shared" si="8"/>
        <v>Regular</v>
      </c>
      <c r="K80" t="str">
        <f t="shared" si="9"/>
        <v>Promoted</v>
      </c>
      <c r="L80" t="str">
        <f t="shared" si="10"/>
        <v>Known Employee</v>
      </c>
      <c r="M80">
        <f t="shared" si="12"/>
        <v>8</v>
      </c>
      <c r="N80" t="str">
        <f t="shared" si="11"/>
        <v>June</v>
      </c>
    </row>
    <row r="81" spans="1:14" x14ac:dyDescent="0.3">
      <c r="A81" s="2" t="s">
        <v>1925</v>
      </c>
      <c r="B81" t="s">
        <v>330</v>
      </c>
      <c r="C81" s="2" t="s">
        <v>29</v>
      </c>
      <c r="D81" s="2" t="s">
        <v>49</v>
      </c>
      <c r="E81" s="2" t="s">
        <v>54</v>
      </c>
      <c r="F81" s="2" t="s">
        <v>25</v>
      </c>
      <c r="G81" s="3">
        <v>310.25</v>
      </c>
      <c r="H81" s="1" t="s">
        <v>735</v>
      </c>
      <c r="I81">
        <f t="shared" si="7"/>
        <v>6</v>
      </c>
      <c r="J81" t="str">
        <f t="shared" si="8"/>
        <v>Regular</v>
      </c>
      <c r="K81" t="str">
        <f t="shared" si="9"/>
        <v>Promoted</v>
      </c>
      <c r="L81" t="str">
        <f t="shared" si="10"/>
        <v>Known Employee</v>
      </c>
      <c r="M81">
        <f t="shared" si="12"/>
        <v>2</v>
      </c>
      <c r="N81" t="str">
        <f t="shared" si="11"/>
        <v>June</v>
      </c>
    </row>
    <row r="82" spans="1:14" x14ac:dyDescent="0.3">
      <c r="A82" s="2" t="s">
        <v>786</v>
      </c>
      <c r="B82" t="s">
        <v>647</v>
      </c>
      <c r="C82" s="2" t="s">
        <v>29</v>
      </c>
      <c r="D82" s="2" t="s">
        <v>123</v>
      </c>
      <c r="E82" s="2" t="s">
        <v>13</v>
      </c>
      <c r="F82" s="2" t="s">
        <v>14</v>
      </c>
      <c r="G82" s="3">
        <v>714</v>
      </c>
      <c r="H82" s="1" t="s">
        <v>787</v>
      </c>
      <c r="I82">
        <f t="shared" si="7"/>
        <v>6</v>
      </c>
      <c r="J82" t="str">
        <f t="shared" si="8"/>
        <v>Regular</v>
      </c>
      <c r="K82" t="str">
        <f t="shared" si="9"/>
        <v>Promoted</v>
      </c>
      <c r="L82" t="str">
        <f t="shared" si="10"/>
        <v>Known Employee</v>
      </c>
      <c r="M82">
        <f t="shared" si="12"/>
        <v>3</v>
      </c>
      <c r="N82" t="str">
        <f t="shared" si="11"/>
        <v>June</v>
      </c>
    </row>
    <row r="83" spans="1:14" x14ac:dyDescent="0.3">
      <c r="A83" s="2" t="s">
        <v>1115</v>
      </c>
      <c r="B83" t="s">
        <v>406</v>
      </c>
      <c r="C83" s="2" t="s">
        <v>29</v>
      </c>
      <c r="D83" s="2" t="s">
        <v>1945</v>
      </c>
      <c r="E83" s="2" t="s">
        <v>13</v>
      </c>
      <c r="F83" s="2" t="s">
        <v>507</v>
      </c>
      <c r="G83" s="3">
        <v>130</v>
      </c>
      <c r="H83" s="1" t="s">
        <v>1116</v>
      </c>
      <c r="I83">
        <f t="shared" si="7"/>
        <v>6</v>
      </c>
      <c r="J83" t="str">
        <f t="shared" si="8"/>
        <v>Regular</v>
      </c>
      <c r="K83" t="str">
        <f t="shared" si="9"/>
        <v>Promoted</v>
      </c>
      <c r="L83" t="str">
        <f t="shared" si="10"/>
        <v>Employee</v>
      </c>
      <c r="M83">
        <f t="shared" si="12"/>
        <v>4</v>
      </c>
      <c r="N83" t="str">
        <f t="shared" si="11"/>
        <v>June</v>
      </c>
    </row>
    <row r="84" spans="1:14" x14ac:dyDescent="0.3">
      <c r="A84" s="2" t="s">
        <v>262</v>
      </c>
      <c r="B84" t="s">
        <v>264</v>
      </c>
      <c r="C84" s="2" t="s">
        <v>18</v>
      </c>
      <c r="D84" s="2" t="s">
        <v>12</v>
      </c>
      <c r="E84" s="2" t="s">
        <v>24</v>
      </c>
      <c r="F84" s="2" t="s">
        <v>25</v>
      </c>
      <c r="G84" s="3">
        <v>175.5</v>
      </c>
      <c r="H84" s="1" t="s">
        <v>263</v>
      </c>
      <c r="I84">
        <f t="shared" si="7"/>
        <v>6</v>
      </c>
      <c r="J84" t="str">
        <f t="shared" si="8"/>
        <v>Regular</v>
      </c>
      <c r="K84" t="str">
        <f t="shared" si="9"/>
        <v>Promoted</v>
      </c>
      <c r="L84" t="str">
        <f t="shared" si="10"/>
        <v>Known Employee</v>
      </c>
      <c r="M84">
        <f t="shared" si="12"/>
        <v>6</v>
      </c>
      <c r="N84" t="str">
        <f t="shared" si="11"/>
        <v>June</v>
      </c>
    </row>
    <row r="85" spans="1:14" x14ac:dyDescent="0.3">
      <c r="A85" s="2" t="s">
        <v>1474</v>
      </c>
      <c r="B85" t="s">
        <v>833</v>
      </c>
      <c r="C85" s="2" t="s">
        <v>53</v>
      </c>
      <c r="D85" s="2" t="s">
        <v>76</v>
      </c>
      <c r="E85" s="2" t="s">
        <v>13</v>
      </c>
      <c r="F85" s="2" t="s">
        <v>25</v>
      </c>
      <c r="G85" s="3">
        <v>240</v>
      </c>
      <c r="H85" s="1" t="s">
        <v>1475</v>
      </c>
      <c r="I85">
        <f t="shared" si="7"/>
        <v>6</v>
      </c>
      <c r="J85" t="str">
        <f t="shared" si="8"/>
        <v>Regular</v>
      </c>
      <c r="K85" t="str">
        <f t="shared" si="9"/>
        <v>Promoted</v>
      </c>
      <c r="L85" t="str">
        <f t="shared" si="10"/>
        <v>Known Employee</v>
      </c>
      <c r="M85">
        <f t="shared" si="12"/>
        <v>4</v>
      </c>
      <c r="N85" t="str">
        <f t="shared" si="11"/>
        <v>June</v>
      </c>
    </row>
    <row r="86" spans="1:14" x14ac:dyDescent="0.3">
      <c r="A86" s="2" t="s">
        <v>1445</v>
      </c>
      <c r="B86" t="s">
        <v>1447</v>
      </c>
      <c r="C86" s="2" t="s">
        <v>53</v>
      </c>
      <c r="D86" s="2" t="s">
        <v>104</v>
      </c>
      <c r="E86" s="2" t="s">
        <v>13</v>
      </c>
      <c r="F86" s="2" t="s">
        <v>40</v>
      </c>
      <c r="G86" s="3">
        <v>321</v>
      </c>
      <c r="H86" s="1" t="s">
        <v>1446</v>
      </c>
      <c r="I86">
        <f t="shared" si="7"/>
        <v>7</v>
      </c>
      <c r="J86" t="str">
        <f t="shared" si="8"/>
        <v>Regular</v>
      </c>
      <c r="K86" t="str">
        <f t="shared" si="9"/>
        <v>Promoted</v>
      </c>
      <c r="L86" t="str">
        <f t="shared" si="10"/>
        <v>Known Employee</v>
      </c>
      <c r="M86">
        <f t="shared" si="12"/>
        <v>1</v>
      </c>
      <c r="N86" t="str">
        <f t="shared" si="11"/>
        <v>July</v>
      </c>
    </row>
    <row r="87" spans="1:14" x14ac:dyDescent="0.3">
      <c r="A87" s="2" t="s">
        <v>1506</v>
      </c>
      <c r="B87" t="s">
        <v>349</v>
      </c>
      <c r="C87" s="2" t="s">
        <v>35</v>
      </c>
      <c r="D87" s="2" t="s">
        <v>340</v>
      </c>
      <c r="E87" s="2" t="s">
        <v>13</v>
      </c>
      <c r="F87" s="2" t="s">
        <v>40</v>
      </c>
      <c r="G87" s="3">
        <v>186</v>
      </c>
      <c r="H87" s="1" t="s">
        <v>1446</v>
      </c>
      <c r="I87">
        <f t="shared" si="7"/>
        <v>7</v>
      </c>
      <c r="J87" t="str">
        <f t="shared" si="8"/>
        <v>Regular</v>
      </c>
      <c r="K87" t="str">
        <f t="shared" si="9"/>
        <v>Promoted</v>
      </c>
      <c r="L87" t="str">
        <f t="shared" si="10"/>
        <v>Known Employee</v>
      </c>
      <c r="M87">
        <f t="shared" si="12"/>
        <v>6</v>
      </c>
      <c r="N87" t="str">
        <f t="shared" si="11"/>
        <v>July</v>
      </c>
    </row>
    <row r="88" spans="1:14" x14ac:dyDescent="0.3">
      <c r="A88" s="2" t="s">
        <v>1855</v>
      </c>
      <c r="B88" t="s">
        <v>186</v>
      </c>
      <c r="C88" s="2" t="s">
        <v>35</v>
      </c>
      <c r="D88" s="2" t="s">
        <v>36</v>
      </c>
      <c r="E88" s="2" t="s">
        <v>13</v>
      </c>
      <c r="F88" s="2" t="s">
        <v>65</v>
      </c>
      <c r="G88" s="3">
        <v>325</v>
      </c>
      <c r="H88" s="1" t="s">
        <v>1856</v>
      </c>
      <c r="I88">
        <f t="shared" si="7"/>
        <v>7</v>
      </c>
      <c r="J88" t="str">
        <f t="shared" si="8"/>
        <v>Regular</v>
      </c>
      <c r="K88" t="str">
        <f t="shared" si="9"/>
        <v>Promoted</v>
      </c>
      <c r="L88" t="str">
        <f t="shared" si="10"/>
        <v>Known Employee</v>
      </c>
      <c r="M88">
        <f t="shared" si="12"/>
        <v>7</v>
      </c>
      <c r="N88" t="str">
        <f t="shared" si="11"/>
        <v>July</v>
      </c>
    </row>
    <row r="89" spans="1:14" x14ac:dyDescent="0.3">
      <c r="A89" s="2" t="s">
        <v>1559</v>
      </c>
      <c r="B89" t="s">
        <v>276</v>
      </c>
      <c r="C89" s="2" t="s">
        <v>35</v>
      </c>
      <c r="D89" s="2" t="s">
        <v>72</v>
      </c>
      <c r="E89" s="2" t="s">
        <v>13</v>
      </c>
      <c r="F89" s="2" t="s">
        <v>40</v>
      </c>
      <c r="G89" s="3">
        <v>360</v>
      </c>
      <c r="H89" s="1" t="s">
        <v>1560</v>
      </c>
      <c r="I89">
        <f t="shared" si="7"/>
        <v>7</v>
      </c>
      <c r="J89" t="str">
        <f t="shared" si="8"/>
        <v>Regular</v>
      </c>
      <c r="K89" t="str">
        <f t="shared" si="9"/>
        <v>Promoted</v>
      </c>
      <c r="L89" t="str">
        <f t="shared" si="10"/>
        <v>Known Employee</v>
      </c>
      <c r="M89">
        <f t="shared" si="12"/>
        <v>6</v>
      </c>
      <c r="N89" t="str">
        <f t="shared" si="11"/>
        <v>July</v>
      </c>
    </row>
    <row r="90" spans="1:14" x14ac:dyDescent="0.3">
      <c r="A90" s="2" t="s">
        <v>1929</v>
      </c>
      <c r="B90" t="s">
        <v>71</v>
      </c>
      <c r="C90" s="2" t="s">
        <v>35</v>
      </c>
      <c r="D90" s="2" t="s">
        <v>72</v>
      </c>
      <c r="E90" s="2" t="s">
        <v>13</v>
      </c>
      <c r="F90" s="2" t="s">
        <v>1945</v>
      </c>
      <c r="G90" s="3">
        <v>600</v>
      </c>
      <c r="H90" s="1" t="s">
        <v>683</v>
      </c>
      <c r="I90">
        <f t="shared" si="7"/>
        <v>7</v>
      </c>
      <c r="J90" t="str">
        <f t="shared" si="8"/>
        <v>Regular</v>
      </c>
      <c r="K90" t="str">
        <f t="shared" si="9"/>
        <v>Promoted</v>
      </c>
      <c r="L90" t="str">
        <f t="shared" si="10"/>
        <v>Known Employee</v>
      </c>
      <c r="M90">
        <f t="shared" si="12"/>
        <v>4</v>
      </c>
      <c r="N90" t="str">
        <f t="shared" si="11"/>
        <v>July</v>
      </c>
    </row>
    <row r="91" spans="1:14" x14ac:dyDescent="0.3">
      <c r="A91" s="2" t="s">
        <v>682</v>
      </c>
      <c r="B91" t="s">
        <v>610</v>
      </c>
      <c r="C91" s="2" t="s">
        <v>29</v>
      </c>
      <c r="D91" s="2" t="s">
        <v>200</v>
      </c>
      <c r="E91" s="2" t="s">
        <v>13</v>
      </c>
      <c r="F91" s="2" t="s">
        <v>65</v>
      </c>
      <c r="G91" s="3">
        <v>460</v>
      </c>
      <c r="H91" s="1" t="s">
        <v>683</v>
      </c>
      <c r="I91">
        <f t="shared" si="7"/>
        <v>7</v>
      </c>
      <c r="J91" t="str">
        <f t="shared" si="8"/>
        <v>Regular</v>
      </c>
      <c r="K91" t="str">
        <f t="shared" si="9"/>
        <v>Promoted</v>
      </c>
      <c r="L91" t="str">
        <f t="shared" si="10"/>
        <v>Known Employee</v>
      </c>
      <c r="M91">
        <f t="shared" si="12"/>
        <v>7</v>
      </c>
      <c r="N91" t="str">
        <f t="shared" si="11"/>
        <v>July</v>
      </c>
    </row>
    <row r="92" spans="1:14" x14ac:dyDescent="0.3">
      <c r="A92" s="2" t="s">
        <v>1372</v>
      </c>
      <c r="B92" t="s">
        <v>1185</v>
      </c>
      <c r="C92" s="2" t="s">
        <v>29</v>
      </c>
      <c r="D92" s="2" t="s">
        <v>30</v>
      </c>
      <c r="E92" s="2" t="s">
        <v>24</v>
      </c>
      <c r="F92" s="2" t="s">
        <v>65</v>
      </c>
      <c r="G92" s="3">
        <v>124.2</v>
      </c>
      <c r="H92" s="1" t="s">
        <v>687</v>
      </c>
      <c r="I92">
        <f t="shared" si="7"/>
        <v>7</v>
      </c>
      <c r="J92" t="str">
        <f t="shared" si="8"/>
        <v>Regular</v>
      </c>
      <c r="K92" t="str">
        <f t="shared" si="9"/>
        <v>Promoted</v>
      </c>
      <c r="L92" t="str">
        <f t="shared" si="10"/>
        <v>Known Employee</v>
      </c>
      <c r="M92">
        <f t="shared" si="12"/>
        <v>4</v>
      </c>
      <c r="N92" t="str">
        <f t="shared" si="11"/>
        <v>July</v>
      </c>
    </row>
    <row r="93" spans="1:14" x14ac:dyDescent="0.3">
      <c r="A93" s="2" t="s">
        <v>686</v>
      </c>
      <c r="B93" t="s">
        <v>177</v>
      </c>
      <c r="C93" s="2" t="s">
        <v>29</v>
      </c>
      <c r="D93" s="2" t="s">
        <v>200</v>
      </c>
      <c r="E93" s="2" t="s">
        <v>13</v>
      </c>
      <c r="F93" s="2" t="s">
        <v>14</v>
      </c>
      <c r="G93" s="3">
        <v>659</v>
      </c>
      <c r="H93" s="1" t="s">
        <v>687</v>
      </c>
      <c r="I93">
        <f t="shared" si="7"/>
        <v>7</v>
      </c>
      <c r="J93" t="str">
        <f t="shared" si="8"/>
        <v>Regular</v>
      </c>
      <c r="K93" t="str">
        <f t="shared" si="9"/>
        <v>Promoted</v>
      </c>
      <c r="L93" t="str">
        <f t="shared" si="10"/>
        <v>Known Employee</v>
      </c>
      <c r="M93">
        <f t="shared" si="12"/>
        <v>5</v>
      </c>
      <c r="N93" t="str">
        <f t="shared" si="11"/>
        <v>July</v>
      </c>
    </row>
    <row r="94" spans="1:14" x14ac:dyDescent="0.3">
      <c r="A94" s="2" t="s">
        <v>1348</v>
      </c>
      <c r="B94" t="s">
        <v>180</v>
      </c>
      <c r="C94" s="2" t="s">
        <v>35</v>
      </c>
      <c r="D94" s="2" t="s">
        <v>340</v>
      </c>
      <c r="E94" s="2" t="s">
        <v>13</v>
      </c>
      <c r="F94" s="2" t="s">
        <v>25</v>
      </c>
      <c r="G94" s="3">
        <v>490</v>
      </c>
      <c r="H94" s="1" t="s">
        <v>1349</v>
      </c>
      <c r="I94">
        <f t="shared" si="7"/>
        <v>7</v>
      </c>
      <c r="J94" t="str">
        <f t="shared" si="8"/>
        <v>Regular</v>
      </c>
      <c r="K94" t="str">
        <f t="shared" si="9"/>
        <v>Promoted</v>
      </c>
      <c r="L94" t="str">
        <f t="shared" si="10"/>
        <v>Known Employee</v>
      </c>
      <c r="M94">
        <f t="shared" si="12"/>
        <v>2</v>
      </c>
      <c r="N94" t="str">
        <f t="shared" si="11"/>
        <v>July</v>
      </c>
    </row>
    <row r="95" spans="1:14" x14ac:dyDescent="0.3">
      <c r="A95" s="2" t="s">
        <v>1345</v>
      </c>
      <c r="B95" t="s">
        <v>352</v>
      </c>
      <c r="C95" s="2" t="s">
        <v>18</v>
      </c>
      <c r="D95" s="2" t="s">
        <v>23</v>
      </c>
      <c r="E95" s="2" t="s">
        <v>24</v>
      </c>
      <c r="F95" s="2" t="s">
        <v>1945</v>
      </c>
      <c r="G95" s="3">
        <v>504</v>
      </c>
      <c r="H95" s="1" t="s">
        <v>1089</v>
      </c>
      <c r="I95">
        <f t="shared" si="7"/>
        <v>7</v>
      </c>
      <c r="J95" t="str">
        <f t="shared" si="8"/>
        <v>Regular</v>
      </c>
      <c r="K95" t="str">
        <f t="shared" si="9"/>
        <v>Promoted</v>
      </c>
      <c r="L95" t="str">
        <f t="shared" si="10"/>
        <v>Known Employee</v>
      </c>
      <c r="M95">
        <f t="shared" si="12"/>
        <v>3</v>
      </c>
      <c r="N95" t="str">
        <f t="shared" si="11"/>
        <v>July</v>
      </c>
    </row>
    <row r="96" spans="1:14" x14ac:dyDescent="0.3">
      <c r="A96" s="2" t="s">
        <v>1088</v>
      </c>
      <c r="B96" t="s">
        <v>934</v>
      </c>
      <c r="C96" s="2" t="s">
        <v>1945</v>
      </c>
      <c r="D96" s="2" t="s">
        <v>12</v>
      </c>
      <c r="E96" s="2" t="s">
        <v>13</v>
      </c>
      <c r="F96" s="2" t="s">
        <v>25</v>
      </c>
      <c r="G96" s="3">
        <v>190</v>
      </c>
      <c r="H96" s="1" t="s">
        <v>1089</v>
      </c>
      <c r="I96">
        <f t="shared" si="7"/>
        <v>7</v>
      </c>
      <c r="J96" t="str">
        <f t="shared" si="8"/>
        <v>Regular</v>
      </c>
      <c r="K96" t="str">
        <f t="shared" si="9"/>
        <v>Promoted</v>
      </c>
      <c r="L96" t="str">
        <f t="shared" si="10"/>
        <v>Known Employee</v>
      </c>
      <c r="M96">
        <f t="shared" si="12"/>
        <v>1</v>
      </c>
      <c r="N96" t="str">
        <f t="shared" si="11"/>
        <v>July</v>
      </c>
    </row>
    <row r="97" spans="1:14" x14ac:dyDescent="0.3">
      <c r="A97" s="2" t="s">
        <v>265</v>
      </c>
      <c r="B97" t="s">
        <v>267</v>
      </c>
      <c r="C97" s="2" t="s">
        <v>18</v>
      </c>
      <c r="D97" s="2" t="s">
        <v>19</v>
      </c>
      <c r="E97" s="2" t="s">
        <v>13</v>
      </c>
      <c r="F97" s="2" t="s">
        <v>268</v>
      </c>
      <c r="G97" s="3">
        <v>160</v>
      </c>
      <c r="H97" s="1" t="s">
        <v>266</v>
      </c>
      <c r="I97">
        <f t="shared" si="7"/>
        <v>7</v>
      </c>
      <c r="J97" t="str">
        <f t="shared" si="8"/>
        <v>Regular</v>
      </c>
      <c r="K97" t="str">
        <f t="shared" si="9"/>
        <v>Promoted</v>
      </c>
      <c r="L97" t="str">
        <f t="shared" si="10"/>
        <v>Known Employee</v>
      </c>
      <c r="M97">
        <f t="shared" si="12"/>
        <v>8</v>
      </c>
      <c r="N97" t="str">
        <f t="shared" si="11"/>
        <v>July</v>
      </c>
    </row>
    <row r="98" spans="1:14" x14ac:dyDescent="0.3">
      <c r="A98" s="2" t="s">
        <v>1425</v>
      </c>
      <c r="B98" t="s">
        <v>1019</v>
      </c>
      <c r="C98" s="2" t="s">
        <v>53</v>
      </c>
      <c r="D98" s="2" t="s">
        <v>76</v>
      </c>
      <c r="E98" s="2" t="s">
        <v>158</v>
      </c>
      <c r="F98" s="2" t="s">
        <v>14</v>
      </c>
      <c r="G98" s="3">
        <v>499.7</v>
      </c>
      <c r="H98" s="1" t="s">
        <v>1426</v>
      </c>
      <c r="I98">
        <f t="shared" si="7"/>
        <v>7</v>
      </c>
      <c r="J98" t="str">
        <f t="shared" si="8"/>
        <v>Regular</v>
      </c>
      <c r="K98" t="str">
        <f t="shared" si="9"/>
        <v>Promoted</v>
      </c>
      <c r="L98" t="str">
        <f t="shared" si="10"/>
        <v>Known Employee</v>
      </c>
      <c r="M98">
        <f t="shared" si="12"/>
        <v>3</v>
      </c>
      <c r="N98" t="str">
        <f t="shared" si="11"/>
        <v>July</v>
      </c>
    </row>
    <row r="99" spans="1:14" x14ac:dyDescent="0.3">
      <c r="A99" s="2" t="s">
        <v>1850</v>
      </c>
      <c r="B99" t="s">
        <v>267</v>
      </c>
      <c r="C99" s="2" t="s">
        <v>53</v>
      </c>
      <c r="D99" s="2" t="s">
        <v>76</v>
      </c>
      <c r="E99" s="2" t="s">
        <v>13</v>
      </c>
      <c r="F99" s="2" t="s">
        <v>65</v>
      </c>
      <c r="G99" s="3">
        <v>622</v>
      </c>
      <c r="H99" s="1" t="s">
        <v>1832</v>
      </c>
      <c r="I99">
        <f t="shared" si="7"/>
        <v>7</v>
      </c>
      <c r="J99" t="str">
        <f t="shared" si="8"/>
        <v>Regular</v>
      </c>
      <c r="K99" t="str">
        <f t="shared" si="9"/>
        <v>Promoted</v>
      </c>
      <c r="L99" t="str">
        <f t="shared" si="10"/>
        <v>Known Employee</v>
      </c>
      <c r="M99">
        <f t="shared" si="12"/>
        <v>8</v>
      </c>
      <c r="N99" t="str">
        <f t="shared" si="11"/>
        <v>July</v>
      </c>
    </row>
    <row r="100" spans="1:14" x14ac:dyDescent="0.3">
      <c r="A100" s="2" t="s">
        <v>1831</v>
      </c>
      <c r="B100" t="s">
        <v>445</v>
      </c>
      <c r="C100" s="2" t="s">
        <v>18</v>
      </c>
      <c r="D100" s="2" t="s">
        <v>12</v>
      </c>
      <c r="E100" s="2" t="s">
        <v>24</v>
      </c>
      <c r="F100" s="2" t="s">
        <v>40</v>
      </c>
      <c r="G100" s="3">
        <v>399.6</v>
      </c>
      <c r="H100" s="1" t="s">
        <v>1832</v>
      </c>
      <c r="I100">
        <f t="shared" si="7"/>
        <v>7</v>
      </c>
      <c r="J100" t="str">
        <f t="shared" si="8"/>
        <v>Regular</v>
      </c>
      <c r="K100" t="str">
        <f t="shared" si="9"/>
        <v>Promoted</v>
      </c>
      <c r="L100" t="str">
        <f t="shared" si="10"/>
        <v>Known Employee</v>
      </c>
      <c r="M100">
        <f t="shared" si="12"/>
        <v>3</v>
      </c>
      <c r="N100" t="str">
        <f t="shared" si="11"/>
        <v>July</v>
      </c>
    </row>
    <row r="101" spans="1:14" x14ac:dyDescent="0.3">
      <c r="A101" s="2" t="s">
        <v>1362</v>
      </c>
      <c r="B101" t="s">
        <v>918</v>
      </c>
      <c r="C101" s="2" t="s">
        <v>53</v>
      </c>
      <c r="D101" s="2" t="s">
        <v>76</v>
      </c>
      <c r="E101" s="2" t="s">
        <v>24</v>
      </c>
      <c r="F101" s="2" t="s">
        <v>65</v>
      </c>
      <c r="G101" s="3">
        <v>517.5</v>
      </c>
      <c r="H101" s="1" t="s">
        <v>1363</v>
      </c>
      <c r="I101">
        <f t="shared" si="7"/>
        <v>7</v>
      </c>
      <c r="J101" t="str">
        <f t="shared" si="8"/>
        <v>Regular</v>
      </c>
      <c r="K101" t="str">
        <f t="shared" si="9"/>
        <v>Promoted</v>
      </c>
      <c r="L101" t="str">
        <f t="shared" si="10"/>
        <v>Known Employee</v>
      </c>
      <c r="M101">
        <f t="shared" si="12"/>
        <v>3</v>
      </c>
      <c r="N101" t="str">
        <f t="shared" si="11"/>
        <v>July</v>
      </c>
    </row>
    <row r="102" spans="1:14" x14ac:dyDescent="0.3">
      <c r="A102" s="2" t="s">
        <v>1536</v>
      </c>
      <c r="B102" t="s">
        <v>79</v>
      </c>
      <c r="C102" s="2" t="s">
        <v>35</v>
      </c>
      <c r="D102" s="2" t="s">
        <v>44</v>
      </c>
      <c r="E102" s="2" t="s">
        <v>24</v>
      </c>
      <c r="F102" s="2" t="s">
        <v>14</v>
      </c>
      <c r="G102" s="3">
        <v>445.5</v>
      </c>
      <c r="H102" s="1" t="s">
        <v>1537</v>
      </c>
      <c r="I102">
        <f t="shared" si="7"/>
        <v>7</v>
      </c>
      <c r="J102" t="str">
        <f t="shared" si="8"/>
        <v>Regular</v>
      </c>
      <c r="K102" t="str">
        <f t="shared" si="9"/>
        <v>Promoted</v>
      </c>
      <c r="L102" t="str">
        <f t="shared" si="10"/>
        <v>Known Employee</v>
      </c>
      <c r="M102">
        <f t="shared" si="12"/>
        <v>7</v>
      </c>
      <c r="N102" t="str">
        <f t="shared" si="11"/>
        <v>July</v>
      </c>
    </row>
    <row r="103" spans="1:14" x14ac:dyDescent="0.3">
      <c r="A103" s="2" t="s">
        <v>718</v>
      </c>
      <c r="B103" t="s">
        <v>255</v>
      </c>
      <c r="C103" s="2" t="s">
        <v>29</v>
      </c>
      <c r="D103" s="2" t="s">
        <v>30</v>
      </c>
      <c r="E103" s="2" t="s">
        <v>1946</v>
      </c>
      <c r="F103" s="2" t="s">
        <v>65</v>
      </c>
      <c r="G103" s="3">
        <v>595</v>
      </c>
      <c r="H103" s="1" t="s">
        <v>719</v>
      </c>
      <c r="I103">
        <f t="shared" si="7"/>
        <v>7</v>
      </c>
      <c r="J103" t="str">
        <f t="shared" si="8"/>
        <v>Regular</v>
      </c>
      <c r="K103" t="str">
        <f t="shared" si="9"/>
        <v>Not Promoted</v>
      </c>
      <c r="L103" t="str">
        <f t="shared" si="10"/>
        <v>Known Employee</v>
      </c>
      <c r="M103">
        <f t="shared" si="12"/>
        <v>3</v>
      </c>
      <c r="N103" t="str">
        <f t="shared" si="11"/>
        <v>July</v>
      </c>
    </row>
    <row r="104" spans="1:14" x14ac:dyDescent="0.3">
      <c r="A104" s="2" t="s">
        <v>1538</v>
      </c>
      <c r="B104" t="s">
        <v>953</v>
      </c>
      <c r="C104" s="2" t="s">
        <v>29</v>
      </c>
      <c r="D104" s="2" t="s">
        <v>168</v>
      </c>
      <c r="E104" s="2" t="s">
        <v>158</v>
      </c>
      <c r="F104" s="2" t="s">
        <v>25</v>
      </c>
      <c r="G104" s="3">
        <v>66.5</v>
      </c>
      <c r="H104" s="1" t="s">
        <v>1377</v>
      </c>
      <c r="I104">
        <f t="shared" si="7"/>
        <v>7</v>
      </c>
      <c r="J104" t="str">
        <f t="shared" si="8"/>
        <v>Regular</v>
      </c>
      <c r="K104" t="str">
        <f t="shared" si="9"/>
        <v>Promoted</v>
      </c>
      <c r="L104" t="str">
        <f t="shared" si="10"/>
        <v>Known Employee</v>
      </c>
      <c r="M104">
        <f t="shared" si="12"/>
        <v>2</v>
      </c>
      <c r="N104" t="str">
        <f t="shared" si="11"/>
        <v>July</v>
      </c>
    </row>
    <row r="105" spans="1:14" x14ac:dyDescent="0.3">
      <c r="A105" s="2" t="s">
        <v>234</v>
      </c>
      <c r="B105" t="s">
        <v>90</v>
      </c>
      <c r="C105" s="2" t="s">
        <v>18</v>
      </c>
      <c r="D105" s="2" t="s">
        <v>12</v>
      </c>
      <c r="E105" s="2" t="s">
        <v>54</v>
      </c>
      <c r="F105" s="2" t="s">
        <v>14</v>
      </c>
      <c r="G105" s="3">
        <v>267.75</v>
      </c>
      <c r="H105" s="1" t="s">
        <v>235</v>
      </c>
      <c r="I105">
        <f t="shared" si="7"/>
        <v>7</v>
      </c>
      <c r="J105" t="str">
        <f t="shared" si="8"/>
        <v>Regular</v>
      </c>
      <c r="K105" t="str">
        <f t="shared" si="9"/>
        <v>Promoted</v>
      </c>
      <c r="L105" t="str">
        <f t="shared" si="10"/>
        <v>Known Employee</v>
      </c>
      <c r="M105">
        <f t="shared" si="12"/>
        <v>3</v>
      </c>
      <c r="N105" t="str">
        <f t="shared" si="11"/>
        <v>July</v>
      </c>
    </row>
    <row r="106" spans="1:14" x14ac:dyDescent="0.3">
      <c r="A106" s="2" t="s">
        <v>1181</v>
      </c>
      <c r="B106" t="s">
        <v>881</v>
      </c>
      <c r="C106" s="2" t="s">
        <v>479</v>
      </c>
      <c r="D106" s="2" t="s">
        <v>1945</v>
      </c>
      <c r="E106" s="2" t="s">
        <v>158</v>
      </c>
      <c r="F106" s="2" t="s">
        <v>1945</v>
      </c>
      <c r="G106" s="3">
        <v>147.25</v>
      </c>
      <c r="H106" s="1" t="s">
        <v>116</v>
      </c>
      <c r="I106">
        <f t="shared" si="7"/>
        <v>7</v>
      </c>
      <c r="J106" t="str">
        <f t="shared" si="8"/>
        <v>Regular</v>
      </c>
      <c r="K106" t="str">
        <f t="shared" si="9"/>
        <v>Promoted</v>
      </c>
      <c r="L106" t="str">
        <f t="shared" si="10"/>
        <v>Employee</v>
      </c>
      <c r="M106">
        <f t="shared" si="12"/>
        <v>6</v>
      </c>
      <c r="N106" t="str">
        <f t="shared" si="11"/>
        <v>July</v>
      </c>
    </row>
    <row r="107" spans="1:14" x14ac:dyDescent="0.3">
      <c r="A107" s="2" t="s">
        <v>115</v>
      </c>
      <c r="B107" t="s">
        <v>117</v>
      </c>
      <c r="C107" s="2" t="s">
        <v>53</v>
      </c>
      <c r="D107" s="2" t="s">
        <v>118</v>
      </c>
      <c r="E107" s="2" t="s">
        <v>24</v>
      </c>
      <c r="F107" s="2" t="s">
        <v>119</v>
      </c>
      <c r="G107" s="3">
        <v>318.60000000000002</v>
      </c>
      <c r="H107" s="1" t="s">
        <v>116</v>
      </c>
      <c r="I107">
        <f t="shared" si="7"/>
        <v>7</v>
      </c>
      <c r="J107" t="str">
        <f t="shared" si="8"/>
        <v>Regular</v>
      </c>
      <c r="K107" t="str">
        <f t="shared" si="9"/>
        <v>Promoted</v>
      </c>
      <c r="L107" t="str">
        <f t="shared" si="10"/>
        <v>Known Employee</v>
      </c>
      <c r="M107">
        <f t="shared" si="12"/>
        <v>3</v>
      </c>
      <c r="N107" t="str">
        <f t="shared" si="11"/>
        <v>July</v>
      </c>
    </row>
    <row r="108" spans="1:14" x14ac:dyDescent="0.3">
      <c r="A108" s="2" t="s">
        <v>1673</v>
      </c>
      <c r="B108" t="s">
        <v>713</v>
      </c>
      <c r="C108" s="2" t="s">
        <v>35</v>
      </c>
      <c r="D108" s="2" t="s">
        <v>140</v>
      </c>
      <c r="E108" s="2" t="s">
        <v>13</v>
      </c>
      <c r="F108" s="2" t="s">
        <v>14</v>
      </c>
      <c r="G108" s="3">
        <v>360</v>
      </c>
      <c r="H108" s="1" t="s">
        <v>116</v>
      </c>
      <c r="I108">
        <f t="shared" si="7"/>
        <v>7</v>
      </c>
      <c r="J108" t="str">
        <f t="shared" si="8"/>
        <v>Regular</v>
      </c>
      <c r="K108" t="str">
        <f t="shared" si="9"/>
        <v>Promoted</v>
      </c>
      <c r="L108" t="str">
        <f t="shared" si="10"/>
        <v>Known Employee</v>
      </c>
      <c r="M108">
        <f t="shared" si="12"/>
        <v>3</v>
      </c>
      <c r="N108" t="str">
        <f t="shared" si="11"/>
        <v>July</v>
      </c>
    </row>
    <row r="109" spans="1:14" x14ac:dyDescent="0.3">
      <c r="A109" s="2" t="s">
        <v>228</v>
      </c>
      <c r="B109" t="s">
        <v>230</v>
      </c>
      <c r="C109" s="2" t="s">
        <v>18</v>
      </c>
      <c r="D109" s="2" t="s">
        <v>231</v>
      </c>
      <c r="E109" s="2" t="s">
        <v>13</v>
      </c>
      <c r="F109" s="2" t="s">
        <v>14</v>
      </c>
      <c r="G109" s="3">
        <v>610</v>
      </c>
      <c r="H109" s="1" t="s">
        <v>229</v>
      </c>
      <c r="I109">
        <f t="shared" si="7"/>
        <v>8</v>
      </c>
      <c r="J109" t="str">
        <f t="shared" si="8"/>
        <v>Rakshabandhan</v>
      </c>
      <c r="K109" t="str">
        <f t="shared" si="9"/>
        <v>Promoted</v>
      </c>
      <c r="L109" t="str">
        <f t="shared" si="10"/>
        <v>Known Employee</v>
      </c>
      <c r="M109">
        <f t="shared" si="12"/>
        <v>6</v>
      </c>
      <c r="N109" t="str">
        <f t="shared" si="11"/>
        <v>August</v>
      </c>
    </row>
    <row r="110" spans="1:14" x14ac:dyDescent="0.3">
      <c r="A110" s="2" t="s">
        <v>964</v>
      </c>
      <c r="B110" t="s">
        <v>128</v>
      </c>
      <c r="C110" s="2" t="s">
        <v>18</v>
      </c>
      <c r="D110" s="2" t="s">
        <v>1945</v>
      </c>
      <c r="E110" s="2" t="s">
        <v>13</v>
      </c>
      <c r="F110" s="2" t="s">
        <v>25</v>
      </c>
      <c r="G110" s="3">
        <v>525</v>
      </c>
      <c r="H110" s="1" t="s">
        <v>229</v>
      </c>
      <c r="I110">
        <f t="shared" si="7"/>
        <v>8</v>
      </c>
      <c r="J110" t="str">
        <f t="shared" si="8"/>
        <v>Rakshabandhan</v>
      </c>
      <c r="K110" t="str">
        <f t="shared" si="9"/>
        <v>Promoted</v>
      </c>
      <c r="L110" t="str">
        <f t="shared" si="10"/>
        <v>Employee</v>
      </c>
      <c r="M110">
        <f t="shared" si="12"/>
        <v>2</v>
      </c>
      <c r="N110" t="str">
        <f t="shared" si="11"/>
        <v>August</v>
      </c>
    </row>
    <row r="111" spans="1:14" x14ac:dyDescent="0.3">
      <c r="A111" s="2" t="s">
        <v>159</v>
      </c>
      <c r="B111" t="s">
        <v>161</v>
      </c>
      <c r="C111" s="2" t="s">
        <v>35</v>
      </c>
      <c r="D111" s="2" t="s">
        <v>44</v>
      </c>
      <c r="E111" s="2" t="s">
        <v>54</v>
      </c>
      <c r="F111" s="2" t="s">
        <v>25</v>
      </c>
      <c r="G111" s="3">
        <v>334.9</v>
      </c>
      <c r="H111" s="1" t="s">
        <v>160</v>
      </c>
      <c r="I111">
        <f t="shared" si="7"/>
        <v>8</v>
      </c>
      <c r="J111" t="str">
        <f t="shared" si="8"/>
        <v>Rakshabandhan</v>
      </c>
      <c r="K111" t="str">
        <f t="shared" si="9"/>
        <v>Promoted</v>
      </c>
      <c r="L111" t="str">
        <f t="shared" si="10"/>
        <v>Known Employee</v>
      </c>
      <c r="M111">
        <f t="shared" si="12"/>
        <v>4</v>
      </c>
      <c r="N111" t="str">
        <f t="shared" si="11"/>
        <v>August</v>
      </c>
    </row>
    <row r="112" spans="1:14" x14ac:dyDescent="0.3">
      <c r="A112" s="2" t="s">
        <v>1157</v>
      </c>
      <c r="B112" t="s">
        <v>644</v>
      </c>
      <c r="C112" s="2" t="s">
        <v>53</v>
      </c>
      <c r="D112" s="2" t="s">
        <v>104</v>
      </c>
      <c r="E112" s="2" t="s">
        <v>1946</v>
      </c>
      <c r="F112" s="2" t="s">
        <v>25</v>
      </c>
      <c r="G112" s="3">
        <v>80</v>
      </c>
      <c r="H112" s="1" t="s">
        <v>1959</v>
      </c>
      <c r="I112">
        <f t="shared" si="7"/>
        <v>8</v>
      </c>
      <c r="J112" t="str">
        <f t="shared" si="8"/>
        <v>Rakshabandhan</v>
      </c>
      <c r="K112" t="str">
        <f t="shared" si="9"/>
        <v>Not Promoted</v>
      </c>
      <c r="L112" t="str">
        <f t="shared" si="10"/>
        <v>Known Employee</v>
      </c>
      <c r="M112">
        <f t="shared" si="12"/>
        <v>5</v>
      </c>
      <c r="N112" t="str">
        <f t="shared" si="11"/>
        <v>August</v>
      </c>
    </row>
    <row r="113" spans="1:14" x14ac:dyDescent="0.3">
      <c r="A113" s="2" t="s">
        <v>599</v>
      </c>
      <c r="B113" t="s">
        <v>601</v>
      </c>
      <c r="C113" s="2" t="s">
        <v>35</v>
      </c>
      <c r="D113" s="2" t="s">
        <v>44</v>
      </c>
      <c r="E113" s="2" t="s">
        <v>13</v>
      </c>
      <c r="F113" s="2" t="s">
        <v>25</v>
      </c>
      <c r="G113" s="3">
        <v>100</v>
      </c>
      <c r="H113" s="1" t="s">
        <v>600</v>
      </c>
      <c r="I113">
        <f t="shared" si="7"/>
        <v>8</v>
      </c>
      <c r="J113" t="str">
        <f t="shared" si="8"/>
        <v>Rakshabandhan</v>
      </c>
      <c r="K113" t="str">
        <f t="shared" si="9"/>
        <v>Promoted</v>
      </c>
      <c r="L113" t="str">
        <f t="shared" si="10"/>
        <v>Known Employee</v>
      </c>
      <c r="M113">
        <f t="shared" si="12"/>
        <v>2</v>
      </c>
      <c r="N113" t="str">
        <f t="shared" si="11"/>
        <v>August</v>
      </c>
    </row>
    <row r="114" spans="1:14" x14ac:dyDescent="0.3">
      <c r="A114" s="2" t="s">
        <v>1219</v>
      </c>
      <c r="B114" t="s">
        <v>349</v>
      </c>
      <c r="C114" s="2" t="s">
        <v>29</v>
      </c>
      <c r="D114" s="2" t="s">
        <v>200</v>
      </c>
      <c r="E114" s="2" t="s">
        <v>54</v>
      </c>
      <c r="F114" s="2" t="s">
        <v>25</v>
      </c>
      <c r="G114" s="3">
        <v>377.4</v>
      </c>
      <c r="H114" s="1" t="s">
        <v>1961</v>
      </c>
      <c r="I114">
        <f t="shared" si="7"/>
        <v>8</v>
      </c>
      <c r="J114" t="str">
        <f t="shared" si="8"/>
        <v>Rakshabandhan</v>
      </c>
      <c r="K114" t="str">
        <f t="shared" si="9"/>
        <v>Promoted</v>
      </c>
      <c r="L114" t="str">
        <f t="shared" si="10"/>
        <v>Known Employee</v>
      </c>
      <c r="M114">
        <f t="shared" si="12"/>
        <v>6</v>
      </c>
      <c r="N114" t="str">
        <f t="shared" si="11"/>
        <v>August</v>
      </c>
    </row>
    <row r="115" spans="1:14" x14ac:dyDescent="0.3">
      <c r="A115" s="2" t="s">
        <v>1605</v>
      </c>
      <c r="B115" t="s">
        <v>292</v>
      </c>
      <c r="C115" s="2" t="s">
        <v>29</v>
      </c>
      <c r="D115" s="2" t="s">
        <v>30</v>
      </c>
      <c r="E115" s="2" t="s">
        <v>54</v>
      </c>
      <c r="F115" s="2" t="s">
        <v>65</v>
      </c>
      <c r="G115" s="3">
        <v>313.64999999999998</v>
      </c>
      <c r="H115" s="1" t="s">
        <v>1606</v>
      </c>
      <c r="I115">
        <f t="shared" si="7"/>
        <v>8</v>
      </c>
      <c r="J115" t="str">
        <f t="shared" si="8"/>
        <v>Rakshabandhan</v>
      </c>
      <c r="K115" t="str">
        <f t="shared" si="9"/>
        <v>Promoted</v>
      </c>
      <c r="L115" t="str">
        <f t="shared" si="10"/>
        <v>Known Employee</v>
      </c>
      <c r="M115">
        <f t="shared" si="12"/>
        <v>5</v>
      </c>
      <c r="N115" t="str">
        <f t="shared" si="11"/>
        <v>August</v>
      </c>
    </row>
    <row r="116" spans="1:14" x14ac:dyDescent="0.3">
      <c r="A116" s="2" t="s">
        <v>1300</v>
      </c>
      <c r="B116" t="s">
        <v>1302</v>
      </c>
      <c r="C116" s="2" t="s">
        <v>53</v>
      </c>
      <c r="D116" s="2" t="s">
        <v>118</v>
      </c>
      <c r="E116" s="2" t="s">
        <v>13</v>
      </c>
      <c r="F116" s="2" t="s">
        <v>14</v>
      </c>
      <c r="G116" s="3">
        <v>150</v>
      </c>
      <c r="H116" s="1" t="s">
        <v>1301</v>
      </c>
      <c r="I116">
        <f t="shared" si="7"/>
        <v>8</v>
      </c>
      <c r="J116" t="str">
        <f t="shared" si="8"/>
        <v>Rakshabandhan</v>
      </c>
      <c r="K116" t="str">
        <f t="shared" si="9"/>
        <v>Promoted</v>
      </c>
      <c r="L116" t="str">
        <f t="shared" si="10"/>
        <v>Known Employee</v>
      </c>
      <c r="M116">
        <f t="shared" si="12"/>
        <v>1</v>
      </c>
      <c r="N116" t="str">
        <f t="shared" si="11"/>
        <v>August</v>
      </c>
    </row>
    <row r="117" spans="1:14" x14ac:dyDescent="0.3">
      <c r="A117" s="2" t="s">
        <v>776</v>
      </c>
      <c r="B117" t="s">
        <v>75</v>
      </c>
      <c r="C117" s="2" t="s">
        <v>29</v>
      </c>
      <c r="D117" s="2" t="s">
        <v>200</v>
      </c>
      <c r="E117" s="2" t="s">
        <v>13</v>
      </c>
      <c r="F117" s="2" t="s">
        <v>40</v>
      </c>
      <c r="G117" s="3">
        <v>290</v>
      </c>
      <c r="H117" s="1" t="s">
        <v>1301</v>
      </c>
      <c r="I117">
        <f t="shared" si="7"/>
        <v>8</v>
      </c>
      <c r="J117" t="str">
        <f t="shared" si="8"/>
        <v>Rakshabandhan</v>
      </c>
      <c r="K117" t="str">
        <f t="shared" si="9"/>
        <v>Promoted</v>
      </c>
      <c r="L117" t="str">
        <f t="shared" si="10"/>
        <v>Known Employee</v>
      </c>
      <c r="M117">
        <f t="shared" si="12"/>
        <v>7</v>
      </c>
      <c r="N117" t="str">
        <f t="shared" si="11"/>
        <v>August</v>
      </c>
    </row>
    <row r="118" spans="1:14" x14ac:dyDescent="0.3">
      <c r="A118" s="2" t="s">
        <v>1529</v>
      </c>
      <c r="B118" t="s">
        <v>477</v>
      </c>
      <c r="C118" s="2" t="s">
        <v>35</v>
      </c>
      <c r="D118" s="2" t="s">
        <v>340</v>
      </c>
      <c r="E118" s="2" t="s">
        <v>64</v>
      </c>
      <c r="F118" s="2" t="s">
        <v>65</v>
      </c>
      <c r="G118" s="3">
        <v>420</v>
      </c>
      <c r="H118" s="1" t="s">
        <v>1530</v>
      </c>
      <c r="I118">
        <f t="shared" si="7"/>
        <v>8</v>
      </c>
      <c r="J118" t="str">
        <f t="shared" si="8"/>
        <v>Rakshabandhan</v>
      </c>
      <c r="K118" t="str">
        <f t="shared" si="9"/>
        <v>Promoted</v>
      </c>
      <c r="L118" t="str">
        <f t="shared" si="10"/>
        <v>Known Employee</v>
      </c>
      <c r="M118">
        <f t="shared" si="12"/>
        <v>2</v>
      </c>
      <c r="N118" t="str">
        <f t="shared" si="11"/>
        <v>August</v>
      </c>
    </row>
    <row r="119" spans="1:14" x14ac:dyDescent="0.3">
      <c r="A119" s="2" t="s">
        <v>1840</v>
      </c>
      <c r="B119" t="s">
        <v>706</v>
      </c>
      <c r="C119" s="2" t="s">
        <v>18</v>
      </c>
      <c r="D119" s="2" t="s">
        <v>19</v>
      </c>
      <c r="E119" s="2" t="s">
        <v>54</v>
      </c>
      <c r="F119" s="2" t="s">
        <v>14</v>
      </c>
      <c r="G119" s="3">
        <v>119</v>
      </c>
      <c r="H119" s="1" t="s">
        <v>481</v>
      </c>
      <c r="I119">
        <f t="shared" si="7"/>
        <v>8</v>
      </c>
      <c r="J119" t="str">
        <f t="shared" si="8"/>
        <v>Rakshabandhan</v>
      </c>
      <c r="K119" t="str">
        <f t="shared" si="9"/>
        <v>Promoted</v>
      </c>
      <c r="L119" t="str">
        <f t="shared" si="10"/>
        <v>Known Employee</v>
      </c>
      <c r="M119">
        <f t="shared" si="12"/>
        <v>4</v>
      </c>
      <c r="N119" t="str">
        <f t="shared" si="11"/>
        <v>August</v>
      </c>
    </row>
    <row r="120" spans="1:14" x14ac:dyDescent="0.3">
      <c r="A120" s="2" t="s">
        <v>480</v>
      </c>
      <c r="B120" t="s">
        <v>482</v>
      </c>
      <c r="C120" s="2" t="s">
        <v>53</v>
      </c>
      <c r="D120" s="2" t="s">
        <v>76</v>
      </c>
      <c r="E120" s="2" t="s">
        <v>54</v>
      </c>
      <c r="F120" s="2" t="s">
        <v>65</v>
      </c>
      <c r="G120" s="3">
        <v>293.25</v>
      </c>
      <c r="H120" s="1" t="s">
        <v>481</v>
      </c>
      <c r="I120">
        <f t="shared" si="7"/>
        <v>8</v>
      </c>
      <c r="J120" t="str">
        <f t="shared" si="8"/>
        <v>Rakshabandhan</v>
      </c>
      <c r="K120" t="str">
        <f t="shared" si="9"/>
        <v>Promoted</v>
      </c>
      <c r="L120" t="str">
        <f t="shared" si="10"/>
        <v>Known Employee</v>
      </c>
      <c r="M120">
        <f t="shared" si="12"/>
        <v>3</v>
      </c>
      <c r="N120" t="str">
        <f t="shared" si="11"/>
        <v>August</v>
      </c>
    </row>
    <row r="121" spans="1:14" x14ac:dyDescent="0.3">
      <c r="A121" s="2" t="s">
        <v>784</v>
      </c>
      <c r="B121" t="s">
        <v>736</v>
      </c>
      <c r="C121" s="2" t="s">
        <v>35</v>
      </c>
      <c r="D121" s="2" t="s">
        <v>36</v>
      </c>
      <c r="E121" s="2" t="s">
        <v>13</v>
      </c>
      <c r="F121" s="2" t="s">
        <v>40</v>
      </c>
      <c r="G121" s="3">
        <v>360</v>
      </c>
      <c r="H121" s="1" t="s">
        <v>785</v>
      </c>
      <c r="I121">
        <f t="shared" si="7"/>
        <v>8</v>
      </c>
      <c r="J121" t="str">
        <f t="shared" si="8"/>
        <v>Rakshabandhan</v>
      </c>
      <c r="K121" t="str">
        <f t="shared" si="9"/>
        <v>Promoted</v>
      </c>
      <c r="L121" t="str">
        <f t="shared" si="10"/>
        <v>Known Employee</v>
      </c>
      <c r="M121">
        <f t="shared" si="12"/>
        <v>8</v>
      </c>
      <c r="N121" t="str">
        <f t="shared" si="11"/>
        <v>August</v>
      </c>
    </row>
    <row r="122" spans="1:14" x14ac:dyDescent="0.3">
      <c r="A122" s="2" t="s">
        <v>980</v>
      </c>
      <c r="B122" t="s">
        <v>360</v>
      </c>
      <c r="C122" s="2" t="s">
        <v>29</v>
      </c>
      <c r="D122" s="2" t="s">
        <v>200</v>
      </c>
      <c r="E122" s="2" t="s">
        <v>13</v>
      </c>
      <c r="F122" s="2" t="s">
        <v>65</v>
      </c>
      <c r="G122" s="3">
        <v>165</v>
      </c>
      <c r="H122" s="1" t="s">
        <v>753</v>
      </c>
      <c r="I122">
        <f t="shared" si="7"/>
        <v>8</v>
      </c>
      <c r="J122" t="str">
        <f t="shared" si="8"/>
        <v>Rakshabandhan</v>
      </c>
      <c r="K122" t="str">
        <f t="shared" si="9"/>
        <v>Promoted</v>
      </c>
      <c r="L122" t="str">
        <f t="shared" si="10"/>
        <v>Known Employee</v>
      </c>
      <c r="M122">
        <f t="shared" si="12"/>
        <v>5</v>
      </c>
      <c r="N122" t="str">
        <f t="shared" si="11"/>
        <v>August</v>
      </c>
    </row>
    <row r="123" spans="1:14" x14ac:dyDescent="0.3">
      <c r="A123" s="2" t="s">
        <v>752</v>
      </c>
      <c r="B123" t="s">
        <v>754</v>
      </c>
      <c r="C123" s="2" t="s">
        <v>35</v>
      </c>
      <c r="D123" s="2" t="s">
        <v>36</v>
      </c>
      <c r="E123" s="2" t="s">
        <v>13</v>
      </c>
      <c r="F123" s="2" t="s">
        <v>14</v>
      </c>
      <c r="G123" s="3">
        <v>55</v>
      </c>
      <c r="H123" s="1" t="s">
        <v>753</v>
      </c>
      <c r="I123">
        <f t="shared" si="7"/>
        <v>8</v>
      </c>
      <c r="J123" t="str">
        <f t="shared" si="8"/>
        <v>Rakshabandhan</v>
      </c>
      <c r="K123" t="str">
        <f t="shared" si="9"/>
        <v>Promoted</v>
      </c>
      <c r="L123" t="str">
        <f t="shared" si="10"/>
        <v>Known Employee</v>
      </c>
      <c r="M123">
        <f t="shared" si="12"/>
        <v>3</v>
      </c>
      <c r="N123" t="str">
        <f t="shared" si="11"/>
        <v>August</v>
      </c>
    </row>
    <row r="124" spans="1:14" x14ac:dyDescent="0.3">
      <c r="A124" s="2" t="s">
        <v>1851</v>
      </c>
      <c r="B124" t="s">
        <v>1096</v>
      </c>
      <c r="C124" s="2" t="s">
        <v>18</v>
      </c>
      <c r="D124" s="2" t="s">
        <v>19</v>
      </c>
      <c r="E124" s="2" t="s">
        <v>13</v>
      </c>
      <c r="F124" s="2" t="s">
        <v>25</v>
      </c>
      <c r="G124" s="3">
        <v>143</v>
      </c>
      <c r="H124" s="1" t="s">
        <v>1852</v>
      </c>
      <c r="I124">
        <f t="shared" si="7"/>
        <v>8</v>
      </c>
      <c r="J124" t="str">
        <f t="shared" si="8"/>
        <v>Rakshabandhan</v>
      </c>
      <c r="K124" t="str">
        <f t="shared" si="9"/>
        <v>Promoted</v>
      </c>
      <c r="L124" t="str">
        <f t="shared" si="10"/>
        <v>Known Employee</v>
      </c>
      <c r="M124">
        <f t="shared" si="12"/>
        <v>3</v>
      </c>
      <c r="N124" t="str">
        <f t="shared" si="11"/>
        <v>August</v>
      </c>
    </row>
    <row r="125" spans="1:14" x14ac:dyDescent="0.3">
      <c r="A125" s="2" t="s">
        <v>1094</v>
      </c>
      <c r="B125" t="s">
        <v>1096</v>
      </c>
      <c r="C125" s="2" t="s">
        <v>35</v>
      </c>
      <c r="D125" s="2" t="s">
        <v>340</v>
      </c>
      <c r="E125" s="2" t="s">
        <v>13</v>
      </c>
      <c r="F125" s="2" t="s">
        <v>65</v>
      </c>
      <c r="G125" s="3">
        <v>475</v>
      </c>
      <c r="H125" s="1" t="s">
        <v>1957</v>
      </c>
      <c r="I125">
        <f t="shared" si="7"/>
        <v>9</v>
      </c>
      <c r="J125" t="str">
        <f t="shared" si="8"/>
        <v>Navratri</v>
      </c>
      <c r="K125" t="str">
        <f t="shared" si="9"/>
        <v>Promoted</v>
      </c>
      <c r="L125" t="str">
        <f t="shared" si="10"/>
        <v>Known Employee</v>
      </c>
      <c r="M125">
        <f t="shared" si="12"/>
        <v>3</v>
      </c>
      <c r="N125" t="str">
        <f t="shared" si="11"/>
        <v>September</v>
      </c>
    </row>
    <row r="126" spans="1:14" x14ac:dyDescent="0.3">
      <c r="A126" s="2" t="s">
        <v>1284</v>
      </c>
      <c r="B126" t="s">
        <v>292</v>
      </c>
      <c r="C126" s="2" t="s">
        <v>29</v>
      </c>
      <c r="D126" s="2" t="s">
        <v>200</v>
      </c>
      <c r="E126" s="2" t="s">
        <v>1946</v>
      </c>
      <c r="F126" s="2" t="s">
        <v>40</v>
      </c>
      <c r="G126" s="3">
        <v>375</v>
      </c>
      <c r="H126" s="1" t="s">
        <v>1285</v>
      </c>
      <c r="I126">
        <f t="shared" si="7"/>
        <v>9</v>
      </c>
      <c r="J126" t="str">
        <f t="shared" si="8"/>
        <v>Navratri</v>
      </c>
      <c r="K126" t="str">
        <f t="shared" si="9"/>
        <v>Not Promoted</v>
      </c>
      <c r="L126" t="str">
        <f t="shared" si="10"/>
        <v>Known Employee</v>
      </c>
      <c r="M126">
        <f t="shared" si="12"/>
        <v>5</v>
      </c>
      <c r="N126" t="str">
        <f t="shared" si="11"/>
        <v>September</v>
      </c>
    </row>
    <row r="127" spans="1:14" x14ac:dyDescent="0.3">
      <c r="A127" s="2" t="s">
        <v>1324</v>
      </c>
      <c r="B127" t="s">
        <v>219</v>
      </c>
      <c r="C127" s="2" t="s">
        <v>53</v>
      </c>
      <c r="D127" s="2" t="s">
        <v>83</v>
      </c>
      <c r="E127" s="2" t="s">
        <v>13</v>
      </c>
      <c r="F127" s="2" t="s">
        <v>65</v>
      </c>
      <c r="G127" s="3">
        <v>235</v>
      </c>
      <c r="H127" s="1" t="s">
        <v>1325</v>
      </c>
      <c r="I127">
        <f t="shared" si="7"/>
        <v>9</v>
      </c>
      <c r="J127" t="str">
        <f t="shared" si="8"/>
        <v>Navratri</v>
      </c>
      <c r="K127" t="str">
        <f t="shared" si="9"/>
        <v>Promoted</v>
      </c>
      <c r="L127" t="str">
        <f t="shared" si="10"/>
        <v>Known Employee</v>
      </c>
      <c r="M127">
        <f t="shared" si="12"/>
        <v>4</v>
      </c>
      <c r="N127" t="str">
        <f t="shared" si="11"/>
        <v>September</v>
      </c>
    </row>
    <row r="128" spans="1:14" x14ac:dyDescent="0.3">
      <c r="A128" s="2" t="s">
        <v>1031</v>
      </c>
      <c r="B128" t="s">
        <v>798</v>
      </c>
      <c r="C128" s="2" t="s">
        <v>35</v>
      </c>
      <c r="D128" s="2" t="s">
        <v>108</v>
      </c>
      <c r="E128" s="2" t="s">
        <v>13</v>
      </c>
      <c r="F128" s="2" t="s">
        <v>40</v>
      </c>
      <c r="G128" s="3">
        <v>524</v>
      </c>
      <c r="H128" s="1" t="s">
        <v>1032</v>
      </c>
      <c r="I128">
        <f t="shared" si="7"/>
        <v>9</v>
      </c>
      <c r="J128" t="str">
        <f t="shared" si="8"/>
        <v>Navratri</v>
      </c>
      <c r="K128" t="str">
        <f t="shared" si="9"/>
        <v>Promoted</v>
      </c>
      <c r="L128" t="str">
        <f t="shared" si="10"/>
        <v>Known Employee</v>
      </c>
      <c r="M128">
        <f t="shared" si="12"/>
        <v>6</v>
      </c>
      <c r="N128" t="str">
        <f t="shared" si="11"/>
        <v>September</v>
      </c>
    </row>
    <row r="129" spans="1:14" x14ac:dyDescent="0.3">
      <c r="A129" s="2" t="s">
        <v>1727</v>
      </c>
      <c r="B129" t="s">
        <v>319</v>
      </c>
      <c r="C129" s="2" t="s">
        <v>35</v>
      </c>
      <c r="D129" s="2" t="s">
        <v>440</v>
      </c>
      <c r="E129" s="2" t="s">
        <v>13</v>
      </c>
      <c r="F129" s="2" t="s">
        <v>25</v>
      </c>
      <c r="G129" s="3">
        <v>55</v>
      </c>
      <c r="H129" s="1" t="s">
        <v>1728</v>
      </c>
      <c r="I129">
        <f t="shared" si="7"/>
        <v>9</v>
      </c>
      <c r="J129" t="str">
        <f t="shared" si="8"/>
        <v>Navratri</v>
      </c>
      <c r="K129" t="str">
        <f t="shared" si="9"/>
        <v>Promoted</v>
      </c>
      <c r="L129" t="str">
        <f t="shared" si="10"/>
        <v>Known Employee</v>
      </c>
      <c r="M129">
        <f t="shared" si="12"/>
        <v>6</v>
      </c>
      <c r="N129" t="str">
        <f t="shared" si="11"/>
        <v>September</v>
      </c>
    </row>
    <row r="130" spans="1:14" x14ac:dyDescent="0.3">
      <c r="A130" s="2" t="s">
        <v>1551</v>
      </c>
      <c r="B130" t="s">
        <v>126</v>
      </c>
      <c r="C130" s="2" t="s">
        <v>29</v>
      </c>
      <c r="D130" s="2" t="s">
        <v>168</v>
      </c>
      <c r="E130" s="2" t="s">
        <v>13</v>
      </c>
      <c r="F130" s="2" t="s">
        <v>14</v>
      </c>
      <c r="G130" s="3">
        <v>285</v>
      </c>
      <c r="H130" s="1" t="s">
        <v>1552</v>
      </c>
      <c r="I130">
        <f t="shared" ref="I130:I193" si="13">MONTH(H130)</f>
        <v>9</v>
      </c>
      <c r="J130" t="str">
        <f t="shared" ref="J130:J193" si="14">IF(OR(I130=10,I130=11),"Diwali",IF(I130=9,"Navratri",IF(I130=8,"Rakshabandhan",IF(I130=3,"Holi",IF(I130=1,"Makar Sankranti","Regular")))))</f>
        <v>Navratri</v>
      </c>
      <c r="K130" t="str">
        <f t="shared" ref="K130:K193" si="15" xml:space="preserve"> IF(E130="No Promotion", "Not Promoted", "Promoted")</f>
        <v>Promoted</v>
      </c>
      <c r="L130" t="str">
        <f t="shared" ref="L130:L193" si="16" xml:space="preserve"> IF(D130="Unknown","Employee","Known Employee")</f>
        <v>Known Employee</v>
      </c>
      <c r="M130">
        <f t="shared" si="12"/>
        <v>4</v>
      </c>
      <c r="N130" t="str">
        <f t="shared" si="11"/>
        <v>September</v>
      </c>
    </row>
    <row r="131" spans="1:14" x14ac:dyDescent="0.3">
      <c r="A131" s="2" t="s">
        <v>1467</v>
      </c>
      <c r="B131" t="s">
        <v>10</v>
      </c>
      <c r="C131" s="2" t="s">
        <v>29</v>
      </c>
      <c r="D131" s="2" t="s">
        <v>168</v>
      </c>
      <c r="E131" s="2" t="s">
        <v>13</v>
      </c>
      <c r="F131" s="2" t="s">
        <v>14</v>
      </c>
      <c r="G131" s="3">
        <v>525</v>
      </c>
      <c r="H131" s="1" t="s">
        <v>1114</v>
      </c>
      <c r="I131">
        <f t="shared" si="13"/>
        <v>9</v>
      </c>
      <c r="J131" t="str">
        <f t="shared" si="14"/>
        <v>Navratri</v>
      </c>
      <c r="K131" t="str">
        <f t="shared" si="15"/>
        <v>Promoted</v>
      </c>
      <c r="L131" t="str">
        <f t="shared" si="16"/>
        <v>Known Employee</v>
      </c>
      <c r="M131">
        <f t="shared" si="12"/>
        <v>6</v>
      </c>
      <c r="N131" t="str">
        <f t="shared" ref="N131:N194" si="17">TEXT(DATE(2000, I131, 1), "mmmm")</f>
        <v>September</v>
      </c>
    </row>
    <row r="132" spans="1:14" x14ac:dyDescent="0.3">
      <c r="A132" s="2" t="s">
        <v>1113</v>
      </c>
      <c r="B132" t="s">
        <v>620</v>
      </c>
      <c r="C132" s="2" t="s">
        <v>35</v>
      </c>
      <c r="D132" s="2" t="s">
        <v>72</v>
      </c>
      <c r="E132" s="2" t="s">
        <v>158</v>
      </c>
      <c r="F132" s="2" t="s">
        <v>40</v>
      </c>
      <c r="G132" s="3">
        <v>193.8</v>
      </c>
      <c r="H132" s="1" t="s">
        <v>1114</v>
      </c>
      <c r="I132">
        <f t="shared" si="13"/>
        <v>9</v>
      </c>
      <c r="J132" t="str">
        <f t="shared" si="14"/>
        <v>Navratri</v>
      </c>
      <c r="K132" t="str">
        <f t="shared" si="15"/>
        <v>Promoted</v>
      </c>
      <c r="L132" t="str">
        <f t="shared" si="16"/>
        <v>Known Employee</v>
      </c>
      <c r="M132">
        <f t="shared" si="12"/>
        <v>4</v>
      </c>
      <c r="N132" t="str">
        <f t="shared" si="17"/>
        <v>September</v>
      </c>
    </row>
    <row r="133" spans="1:14" x14ac:dyDescent="0.3">
      <c r="A133" s="2" t="s">
        <v>928</v>
      </c>
      <c r="B133" t="s">
        <v>930</v>
      </c>
      <c r="C133" s="2" t="s">
        <v>29</v>
      </c>
      <c r="D133" s="2" t="s">
        <v>30</v>
      </c>
      <c r="E133" s="2" t="s">
        <v>54</v>
      </c>
      <c r="F133" s="2" t="s">
        <v>25</v>
      </c>
      <c r="G133" s="3">
        <v>565.25</v>
      </c>
      <c r="H133" s="1" t="s">
        <v>929</v>
      </c>
      <c r="I133">
        <f t="shared" si="13"/>
        <v>9</v>
      </c>
      <c r="J133" t="str">
        <f t="shared" si="14"/>
        <v>Navratri</v>
      </c>
      <c r="K133" t="str">
        <f t="shared" si="15"/>
        <v>Promoted</v>
      </c>
      <c r="L133" t="str">
        <f t="shared" si="16"/>
        <v>Known Employee</v>
      </c>
      <c r="M133">
        <f t="shared" si="12"/>
        <v>4</v>
      </c>
      <c r="N133" t="str">
        <f t="shared" si="17"/>
        <v>September</v>
      </c>
    </row>
    <row r="134" spans="1:14" x14ac:dyDescent="0.3">
      <c r="A134" s="2" t="s">
        <v>1307</v>
      </c>
      <c r="B134" t="s">
        <v>503</v>
      </c>
      <c r="C134" s="2" t="s">
        <v>29</v>
      </c>
      <c r="D134" s="2" t="s">
        <v>123</v>
      </c>
      <c r="E134" s="2" t="s">
        <v>13</v>
      </c>
      <c r="F134" s="2" t="s">
        <v>65</v>
      </c>
      <c r="G134" s="3">
        <v>361</v>
      </c>
      <c r="H134" s="1" t="s">
        <v>884</v>
      </c>
      <c r="I134">
        <f t="shared" si="13"/>
        <v>9</v>
      </c>
      <c r="J134" t="str">
        <f t="shared" si="14"/>
        <v>Navratri</v>
      </c>
      <c r="K134" t="str">
        <f t="shared" si="15"/>
        <v>Promoted</v>
      </c>
      <c r="L134" t="str">
        <f t="shared" si="16"/>
        <v>Known Employee</v>
      </c>
      <c r="M134">
        <f t="shared" si="12"/>
        <v>5</v>
      </c>
      <c r="N134" t="str">
        <f t="shared" si="17"/>
        <v>September</v>
      </c>
    </row>
    <row r="135" spans="1:14" x14ac:dyDescent="0.3">
      <c r="A135" s="2" t="s">
        <v>1627</v>
      </c>
      <c r="B135" t="s">
        <v>736</v>
      </c>
      <c r="C135" s="2" t="s">
        <v>53</v>
      </c>
      <c r="D135" s="2" t="s">
        <v>76</v>
      </c>
      <c r="E135" s="2" t="s">
        <v>13</v>
      </c>
      <c r="F135" s="2" t="s">
        <v>25</v>
      </c>
      <c r="G135" s="3">
        <v>330</v>
      </c>
      <c r="H135" s="1" t="s">
        <v>884</v>
      </c>
      <c r="I135">
        <f t="shared" si="13"/>
        <v>9</v>
      </c>
      <c r="J135" t="str">
        <f t="shared" si="14"/>
        <v>Navratri</v>
      </c>
      <c r="K135" t="str">
        <f t="shared" si="15"/>
        <v>Promoted</v>
      </c>
      <c r="L135" t="str">
        <f t="shared" si="16"/>
        <v>Known Employee</v>
      </c>
      <c r="M135">
        <f t="shared" si="12"/>
        <v>8</v>
      </c>
      <c r="N135" t="str">
        <f t="shared" si="17"/>
        <v>September</v>
      </c>
    </row>
    <row r="136" spans="1:14" x14ac:dyDescent="0.3">
      <c r="A136" s="2" t="s">
        <v>883</v>
      </c>
      <c r="B136" t="s">
        <v>273</v>
      </c>
      <c r="C136" s="2" t="s">
        <v>29</v>
      </c>
      <c r="D136" s="2" t="s">
        <v>30</v>
      </c>
      <c r="E136" s="2" t="s">
        <v>13</v>
      </c>
      <c r="F136" s="2" t="s">
        <v>65</v>
      </c>
      <c r="G136" s="3">
        <v>340</v>
      </c>
      <c r="H136" s="1" t="s">
        <v>884</v>
      </c>
      <c r="I136">
        <f t="shared" si="13"/>
        <v>9</v>
      </c>
      <c r="J136" t="str">
        <f t="shared" si="14"/>
        <v>Navratri</v>
      </c>
      <c r="K136" t="str">
        <f t="shared" si="15"/>
        <v>Promoted</v>
      </c>
      <c r="L136" t="str">
        <f t="shared" si="16"/>
        <v>Known Employee</v>
      </c>
      <c r="M136">
        <f t="shared" si="12"/>
        <v>3</v>
      </c>
      <c r="N136" t="str">
        <f t="shared" si="17"/>
        <v>September</v>
      </c>
    </row>
    <row r="137" spans="1:14" x14ac:dyDescent="0.3">
      <c r="A137" s="2" t="s">
        <v>1196</v>
      </c>
      <c r="B137" t="s">
        <v>1198</v>
      </c>
      <c r="C137" s="2" t="s">
        <v>246</v>
      </c>
      <c r="D137" s="2" t="s">
        <v>44</v>
      </c>
      <c r="E137" s="2" t="s">
        <v>158</v>
      </c>
      <c r="F137" s="2" t="s">
        <v>25</v>
      </c>
      <c r="G137" s="3">
        <v>413.25</v>
      </c>
      <c r="H137" s="1" t="s">
        <v>1197</v>
      </c>
      <c r="I137">
        <f t="shared" si="13"/>
        <v>9</v>
      </c>
      <c r="J137" t="str">
        <f t="shared" si="14"/>
        <v>Navratri</v>
      </c>
      <c r="K137" t="str">
        <f t="shared" si="15"/>
        <v>Promoted</v>
      </c>
      <c r="L137" t="str">
        <f t="shared" si="16"/>
        <v>Known Employee</v>
      </c>
      <c r="M137">
        <f t="shared" si="12"/>
        <v>4</v>
      </c>
      <c r="N137" t="str">
        <f t="shared" si="17"/>
        <v>September</v>
      </c>
    </row>
    <row r="138" spans="1:14" x14ac:dyDescent="0.3">
      <c r="A138" s="2" t="s">
        <v>1125</v>
      </c>
      <c r="B138" t="s">
        <v>1127</v>
      </c>
      <c r="C138" s="2" t="s">
        <v>18</v>
      </c>
      <c r="D138" s="2" t="s">
        <v>12</v>
      </c>
      <c r="E138" s="2" t="s">
        <v>64</v>
      </c>
      <c r="F138" s="2" t="s">
        <v>1945</v>
      </c>
      <c r="G138" s="3">
        <v>285</v>
      </c>
      <c r="H138" s="1" t="s">
        <v>1126</v>
      </c>
      <c r="I138">
        <f t="shared" si="13"/>
        <v>9</v>
      </c>
      <c r="J138" t="str">
        <f t="shared" si="14"/>
        <v>Navratri</v>
      </c>
      <c r="K138" t="str">
        <f t="shared" si="15"/>
        <v>Promoted</v>
      </c>
      <c r="L138" t="str">
        <f t="shared" si="16"/>
        <v>Known Employee</v>
      </c>
      <c r="M138">
        <f t="shared" ref="M138:M201" si="18">COUNTIF($B$1:$B$805, B138)</f>
        <v>1</v>
      </c>
      <c r="N138" t="str">
        <f t="shared" si="17"/>
        <v>September</v>
      </c>
    </row>
    <row r="139" spans="1:14" x14ac:dyDescent="0.3">
      <c r="A139" s="2" t="s">
        <v>1553</v>
      </c>
      <c r="B139" t="s">
        <v>22</v>
      </c>
      <c r="C139" s="2" t="s">
        <v>35</v>
      </c>
      <c r="D139" s="2" t="s">
        <v>654</v>
      </c>
      <c r="E139" s="2" t="s">
        <v>13</v>
      </c>
      <c r="F139" s="2" t="s">
        <v>65</v>
      </c>
      <c r="G139" s="3">
        <v>493</v>
      </c>
      <c r="H139" s="1" t="s">
        <v>1554</v>
      </c>
      <c r="I139">
        <f t="shared" si="13"/>
        <v>9</v>
      </c>
      <c r="J139" t="str">
        <f t="shared" si="14"/>
        <v>Navratri</v>
      </c>
      <c r="K139" t="str">
        <f t="shared" si="15"/>
        <v>Promoted</v>
      </c>
      <c r="L139" t="str">
        <f t="shared" si="16"/>
        <v>Known Employee</v>
      </c>
      <c r="M139">
        <f t="shared" si="18"/>
        <v>6</v>
      </c>
      <c r="N139" t="str">
        <f t="shared" si="17"/>
        <v>September</v>
      </c>
    </row>
    <row r="140" spans="1:14" x14ac:dyDescent="0.3">
      <c r="A140" s="2" t="s">
        <v>1609</v>
      </c>
      <c r="B140" t="s">
        <v>308</v>
      </c>
      <c r="C140" s="2" t="s">
        <v>53</v>
      </c>
      <c r="D140" s="2" t="s">
        <v>118</v>
      </c>
      <c r="E140" s="2" t="s">
        <v>13</v>
      </c>
      <c r="F140" s="2" t="s">
        <v>65</v>
      </c>
      <c r="G140" s="3">
        <v>116</v>
      </c>
      <c r="H140" s="1" t="s">
        <v>1610</v>
      </c>
      <c r="I140">
        <f t="shared" si="13"/>
        <v>9</v>
      </c>
      <c r="J140" t="str">
        <f t="shared" si="14"/>
        <v>Navratri</v>
      </c>
      <c r="K140" t="str">
        <f t="shared" si="15"/>
        <v>Promoted</v>
      </c>
      <c r="L140" t="str">
        <f t="shared" si="16"/>
        <v>Known Employee</v>
      </c>
      <c r="M140">
        <f t="shared" si="18"/>
        <v>4</v>
      </c>
      <c r="N140" t="str">
        <f t="shared" si="17"/>
        <v>September</v>
      </c>
    </row>
    <row r="141" spans="1:14" x14ac:dyDescent="0.3">
      <c r="A141" s="2" t="s">
        <v>77</v>
      </c>
      <c r="B141" t="s">
        <v>79</v>
      </c>
      <c r="C141" s="2" t="s">
        <v>18</v>
      </c>
      <c r="D141" s="2" t="s">
        <v>23</v>
      </c>
      <c r="E141" s="2" t="s">
        <v>13</v>
      </c>
      <c r="F141" s="2" t="s">
        <v>40</v>
      </c>
      <c r="G141" s="3">
        <v>220</v>
      </c>
      <c r="H141" s="1" t="s">
        <v>78</v>
      </c>
      <c r="I141">
        <f t="shared" si="13"/>
        <v>9</v>
      </c>
      <c r="J141" t="str">
        <f t="shared" si="14"/>
        <v>Navratri</v>
      </c>
      <c r="K141" t="str">
        <f t="shared" si="15"/>
        <v>Promoted</v>
      </c>
      <c r="L141" t="str">
        <f t="shared" si="16"/>
        <v>Known Employee</v>
      </c>
      <c r="M141">
        <f t="shared" si="18"/>
        <v>7</v>
      </c>
      <c r="N141" t="str">
        <f t="shared" si="17"/>
        <v>September</v>
      </c>
    </row>
    <row r="142" spans="1:14" x14ac:dyDescent="0.3">
      <c r="A142" s="2" t="s">
        <v>1441</v>
      </c>
      <c r="B142" t="s">
        <v>1164</v>
      </c>
      <c r="C142" s="2" t="s">
        <v>35</v>
      </c>
      <c r="D142" s="2" t="s">
        <v>140</v>
      </c>
      <c r="E142" s="2" t="s">
        <v>64</v>
      </c>
      <c r="F142" s="2" t="s">
        <v>14</v>
      </c>
      <c r="G142" s="3">
        <v>204</v>
      </c>
      <c r="H142" s="1" t="s">
        <v>1442</v>
      </c>
      <c r="I142">
        <f t="shared" si="13"/>
        <v>9</v>
      </c>
      <c r="J142" t="str">
        <f t="shared" si="14"/>
        <v>Navratri</v>
      </c>
      <c r="K142" t="str">
        <f t="shared" si="15"/>
        <v>Promoted</v>
      </c>
      <c r="L142" t="str">
        <f t="shared" si="16"/>
        <v>Known Employee</v>
      </c>
      <c r="M142">
        <f t="shared" si="18"/>
        <v>5</v>
      </c>
      <c r="N142" t="str">
        <f t="shared" si="17"/>
        <v>September</v>
      </c>
    </row>
    <row r="143" spans="1:14" x14ac:dyDescent="0.3">
      <c r="A143" s="2" t="s">
        <v>1824</v>
      </c>
      <c r="B143" t="s">
        <v>267</v>
      </c>
      <c r="C143" s="2" t="s">
        <v>35</v>
      </c>
      <c r="D143" s="2" t="s">
        <v>36</v>
      </c>
      <c r="E143" s="2" t="s">
        <v>13</v>
      </c>
      <c r="F143" s="2" t="s">
        <v>25</v>
      </c>
      <c r="G143" s="3">
        <v>420</v>
      </c>
      <c r="H143" s="1" t="s">
        <v>1825</v>
      </c>
      <c r="I143">
        <f t="shared" si="13"/>
        <v>9</v>
      </c>
      <c r="J143" t="str">
        <f t="shared" si="14"/>
        <v>Navratri</v>
      </c>
      <c r="K143" t="str">
        <f t="shared" si="15"/>
        <v>Promoted</v>
      </c>
      <c r="L143" t="str">
        <f t="shared" si="16"/>
        <v>Known Employee</v>
      </c>
      <c r="M143">
        <f t="shared" si="18"/>
        <v>8</v>
      </c>
      <c r="N143" t="str">
        <f t="shared" si="17"/>
        <v>September</v>
      </c>
    </row>
    <row r="144" spans="1:14" x14ac:dyDescent="0.3">
      <c r="A144" s="2" t="s">
        <v>361</v>
      </c>
      <c r="B144" t="s">
        <v>363</v>
      </c>
      <c r="C144" s="2" t="s">
        <v>18</v>
      </c>
      <c r="D144" s="2" t="s">
        <v>1945</v>
      </c>
      <c r="E144" s="2" t="s">
        <v>13</v>
      </c>
      <c r="F144" s="2" t="s">
        <v>14</v>
      </c>
      <c r="G144" s="3">
        <v>390</v>
      </c>
      <c r="H144" s="1" t="s">
        <v>362</v>
      </c>
      <c r="I144">
        <f t="shared" si="13"/>
        <v>10</v>
      </c>
      <c r="J144" t="str">
        <f t="shared" si="14"/>
        <v>Diwali</v>
      </c>
      <c r="K144" t="str">
        <f t="shared" si="15"/>
        <v>Promoted</v>
      </c>
      <c r="L144" t="str">
        <f t="shared" si="16"/>
        <v>Employee</v>
      </c>
      <c r="M144">
        <f t="shared" si="18"/>
        <v>4</v>
      </c>
      <c r="N144" t="str">
        <f t="shared" si="17"/>
        <v>October</v>
      </c>
    </row>
    <row r="145" spans="1:14" x14ac:dyDescent="0.3">
      <c r="A145" s="2" t="s">
        <v>1620</v>
      </c>
      <c r="B145" t="s">
        <v>975</v>
      </c>
      <c r="C145" s="2" t="s">
        <v>29</v>
      </c>
      <c r="D145" s="2" t="s">
        <v>49</v>
      </c>
      <c r="E145" s="2" t="s">
        <v>322</v>
      </c>
      <c r="F145" s="2" t="s">
        <v>14</v>
      </c>
      <c r="G145" s="3">
        <v>207</v>
      </c>
      <c r="H145" s="1" t="s">
        <v>1621</v>
      </c>
      <c r="I145">
        <f t="shared" si="13"/>
        <v>10</v>
      </c>
      <c r="J145" t="str">
        <f t="shared" si="14"/>
        <v>Diwali</v>
      </c>
      <c r="K145" t="str">
        <f t="shared" si="15"/>
        <v>Promoted</v>
      </c>
      <c r="L145" t="str">
        <f t="shared" si="16"/>
        <v>Known Employee</v>
      </c>
      <c r="M145">
        <f t="shared" si="18"/>
        <v>4</v>
      </c>
      <c r="N145" t="str">
        <f t="shared" si="17"/>
        <v>October</v>
      </c>
    </row>
    <row r="146" spans="1:14" x14ac:dyDescent="0.3">
      <c r="A146" s="2" t="s">
        <v>1258</v>
      </c>
      <c r="B146" t="s">
        <v>10</v>
      </c>
      <c r="C146" s="2" t="s">
        <v>29</v>
      </c>
      <c r="D146" s="2" t="s">
        <v>30</v>
      </c>
      <c r="E146" s="2" t="s">
        <v>54</v>
      </c>
      <c r="F146" s="2" t="s">
        <v>65</v>
      </c>
      <c r="G146" s="3">
        <v>221</v>
      </c>
      <c r="H146" s="1" t="s">
        <v>1259</v>
      </c>
      <c r="I146">
        <f t="shared" si="13"/>
        <v>10</v>
      </c>
      <c r="J146" t="str">
        <f t="shared" si="14"/>
        <v>Diwali</v>
      </c>
      <c r="K146" t="str">
        <f t="shared" si="15"/>
        <v>Promoted</v>
      </c>
      <c r="L146" t="str">
        <f t="shared" si="16"/>
        <v>Known Employee</v>
      </c>
      <c r="M146">
        <f t="shared" si="18"/>
        <v>6</v>
      </c>
      <c r="N146" t="str">
        <f t="shared" si="17"/>
        <v>October</v>
      </c>
    </row>
    <row r="147" spans="1:14" x14ac:dyDescent="0.3">
      <c r="A147" s="2" t="s">
        <v>314</v>
      </c>
      <c r="B147" t="s">
        <v>316</v>
      </c>
      <c r="C147" s="2" t="s">
        <v>35</v>
      </c>
      <c r="D147" s="2" t="s">
        <v>44</v>
      </c>
      <c r="E147" s="2" t="s">
        <v>13</v>
      </c>
      <c r="F147" s="2" t="s">
        <v>40</v>
      </c>
      <c r="G147" s="3">
        <v>745</v>
      </c>
      <c r="H147" s="1" t="s">
        <v>315</v>
      </c>
      <c r="I147">
        <f t="shared" si="13"/>
        <v>10</v>
      </c>
      <c r="J147" t="str">
        <f t="shared" si="14"/>
        <v>Diwali</v>
      </c>
      <c r="K147" t="str">
        <f t="shared" si="15"/>
        <v>Promoted</v>
      </c>
      <c r="L147" t="str">
        <f t="shared" si="16"/>
        <v>Known Employee</v>
      </c>
      <c r="M147">
        <f t="shared" si="18"/>
        <v>4</v>
      </c>
      <c r="N147" t="str">
        <f t="shared" si="17"/>
        <v>October</v>
      </c>
    </row>
    <row r="148" spans="1:14" x14ac:dyDescent="0.3">
      <c r="A148" s="2" t="s">
        <v>897</v>
      </c>
      <c r="B148" t="s">
        <v>363</v>
      </c>
      <c r="C148" s="2" t="s">
        <v>53</v>
      </c>
      <c r="D148" s="2" t="s">
        <v>138</v>
      </c>
      <c r="E148" s="2" t="s">
        <v>13</v>
      </c>
      <c r="F148" s="2" t="s">
        <v>14</v>
      </c>
      <c r="G148" s="3">
        <v>415</v>
      </c>
      <c r="H148" s="1" t="s">
        <v>898</v>
      </c>
      <c r="I148">
        <f t="shared" si="13"/>
        <v>10</v>
      </c>
      <c r="J148" t="str">
        <f t="shared" si="14"/>
        <v>Diwali</v>
      </c>
      <c r="K148" t="str">
        <f t="shared" si="15"/>
        <v>Promoted</v>
      </c>
      <c r="L148" t="str">
        <f t="shared" si="16"/>
        <v>Known Employee</v>
      </c>
      <c r="M148">
        <f t="shared" si="18"/>
        <v>4</v>
      </c>
      <c r="N148" t="str">
        <f t="shared" si="17"/>
        <v>October</v>
      </c>
    </row>
    <row r="149" spans="1:14" x14ac:dyDescent="0.3">
      <c r="A149" s="2" t="s">
        <v>1694</v>
      </c>
      <c r="B149" t="s">
        <v>710</v>
      </c>
      <c r="C149" s="2" t="s">
        <v>29</v>
      </c>
      <c r="D149" s="2" t="s">
        <v>200</v>
      </c>
      <c r="E149" s="2" t="s">
        <v>13</v>
      </c>
      <c r="F149" s="2" t="s">
        <v>65</v>
      </c>
      <c r="G149" s="3">
        <v>642</v>
      </c>
      <c r="H149" s="1" t="s">
        <v>1645</v>
      </c>
      <c r="I149">
        <f t="shared" si="13"/>
        <v>10</v>
      </c>
      <c r="J149" t="str">
        <f t="shared" si="14"/>
        <v>Diwali</v>
      </c>
      <c r="K149" t="str">
        <f t="shared" si="15"/>
        <v>Promoted</v>
      </c>
      <c r="L149" t="str">
        <f t="shared" si="16"/>
        <v>Known Employee</v>
      </c>
      <c r="M149">
        <f t="shared" si="18"/>
        <v>5</v>
      </c>
      <c r="N149" t="str">
        <f t="shared" si="17"/>
        <v>October</v>
      </c>
    </row>
    <row r="150" spans="1:14" x14ac:dyDescent="0.3">
      <c r="A150" s="2" t="s">
        <v>1644</v>
      </c>
      <c r="B150" t="s">
        <v>1172</v>
      </c>
      <c r="C150" s="2" t="s">
        <v>18</v>
      </c>
      <c r="D150" s="2" t="s">
        <v>1945</v>
      </c>
      <c r="E150" s="2" t="s">
        <v>289</v>
      </c>
      <c r="F150" s="2" t="s">
        <v>25</v>
      </c>
      <c r="G150" s="3">
        <v>460.75</v>
      </c>
      <c r="H150" s="1" t="s">
        <v>1645</v>
      </c>
      <c r="I150">
        <f t="shared" si="13"/>
        <v>10</v>
      </c>
      <c r="J150" t="str">
        <f t="shared" si="14"/>
        <v>Diwali</v>
      </c>
      <c r="K150" t="str">
        <f t="shared" si="15"/>
        <v>Promoted</v>
      </c>
      <c r="L150" t="str">
        <f t="shared" si="16"/>
        <v>Employee</v>
      </c>
      <c r="M150">
        <f t="shared" si="18"/>
        <v>3</v>
      </c>
      <c r="N150" t="str">
        <f t="shared" si="17"/>
        <v>October</v>
      </c>
    </row>
    <row r="151" spans="1:14" x14ac:dyDescent="0.3">
      <c r="A151" s="2" t="s">
        <v>1581</v>
      </c>
      <c r="B151" t="s">
        <v>213</v>
      </c>
      <c r="C151" s="2" t="s">
        <v>53</v>
      </c>
      <c r="D151" s="2" t="s">
        <v>118</v>
      </c>
      <c r="E151" s="2" t="s">
        <v>13</v>
      </c>
      <c r="F151" s="2" t="s">
        <v>268</v>
      </c>
      <c r="G151" s="3">
        <v>605</v>
      </c>
      <c r="H151" s="1" t="s">
        <v>1582</v>
      </c>
      <c r="I151">
        <f t="shared" si="13"/>
        <v>10</v>
      </c>
      <c r="J151" t="str">
        <f t="shared" si="14"/>
        <v>Diwali</v>
      </c>
      <c r="K151" t="str">
        <f t="shared" si="15"/>
        <v>Promoted</v>
      </c>
      <c r="L151" t="str">
        <f t="shared" si="16"/>
        <v>Known Employee</v>
      </c>
      <c r="M151">
        <f t="shared" si="18"/>
        <v>7</v>
      </c>
      <c r="N151" t="str">
        <f t="shared" si="17"/>
        <v>October</v>
      </c>
    </row>
    <row r="152" spans="1:14" x14ac:dyDescent="0.3">
      <c r="A152" s="2" t="s">
        <v>1383</v>
      </c>
      <c r="B152" t="s">
        <v>503</v>
      </c>
      <c r="C152" s="2" t="s">
        <v>18</v>
      </c>
      <c r="D152" s="2" t="s">
        <v>12</v>
      </c>
      <c r="E152" s="2" t="s">
        <v>13</v>
      </c>
      <c r="F152" s="2" t="s">
        <v>40</v>
      </c>
      <c r="G152" s="3">
        <v>628</v>
      </c>
      <c r="H152" s="1" t="s">
        <v>1384</v>
      </c>
      <c r="I152">
        <f t="shared" si="13"/>
        <v>10</v>
      </c>
      <c r="J152" t="str">
        <f t="shared" si="14"/>
        <v>Diwali</v>
      </c>
      <c r="K152" t="str">
        <f t="shared" si="15"/>
        <v>Promoted</v>
      </c>
      <c r="L152" t="str">
        <f t="shared" si="16"/>
        <v>Known Employee</v>
      </c>
      <c r="M152">
        <f t="shared" si="18"/>
        <v>5</v>
      </c>
      <c r="N152" t="str">
        <f t="shared" si="17"/>
        <v>October</v>
      </c>
    </row>
    <row r="153" spans="1:14" x14ac:dyDescent="0.3">
      <c r="A153" s="2" t="s">
        <v>132</v>
      </c>
      <c r="B153" t="s">
        <v>134</v>
      </c>
      <c r="C153" s="2" t="s">
        <v>53</v>
      </c>
      <c r="D153" s="2" t="s">
        <v>104</v>
      </c>
      <c r="E153" s="2" t="s">
        <v>13</v>
      </c>
      <c r="F153" s="2" t="s">
        <v>65</v>
      </c>
      <c r="G153" s="3">
        <v>183</v>
      </c>
      <c r="H153" s="1" t="s">
        <v>133</v>
      </c>
      <c r="I153">
        <f t="shared" si="13"/>
        <v>10</v>
      </c>
      <c r="J153" t="str">
        <f t="shared" si="14"/>
        <v>Diwali</v>
      </c>
      <c r="K153" t="str">
        <f t="shared" si="15"/>
        <v>Promoted</v>
      </c>
      <c r="L153" t="str">
        <f t="shared" si="16"/>
        <v>Known Employee</v>
      </c>
      <c r="M153">
        <f t="shared" si="18"/>
        <v>5</v>
      </c>
      <c r="N153" t="str">
        <f t="shared" si="17"/>
        <v>October</v>
      </c>
    </row>
    <row r="154" spans="1:14" x14ac:dyDescent="0.3">
      <c r="A154" s="2" t="s">
        <v>1901</v>
      </c>
      <c r="B154" t="s">
        <v>497</v>
      </c>
      <c r="C154" s="2" t="s">
        <v>246</v>
      </c>
      <c r="D154" s="2" t="s">
        <v>140</v>
      </c>
      <c r="E154" s="2" t="s">
        <v>13</v>
      </c>
      <c r="F154" s="2" t="s">
        <v>40</v>
      </c>
      <c r="G154" s="3">
        <v>295</v>
      </c>
      <c r="H154" s="1" t="s">
        <v>1902</v>
      </c>
      <c r="I154">
        <f t="shared" si="13"/>
        <v>11</v>
      </c>
      <c r="J154" t="str">
        <f t="shared" si="14"/>
        <v>Diwali</v>
      </c>
      <c r="K154" t="str">
        <f t="shared" si="15"/>
        <v>Promoted</v>
      </c>
      <c r="L154" t="str">
        <f t="shared" si="16"/>
        <v>Known Employee</v>
      </c>
      <c r="M154">
        <f t="shared" si="18"/>
        <v>6</v>
      </c>
      <c r="N154" t="str">
        <f t="shared" si="17"/>
        <v>November</v>
      </c>
    </row>
    <row r="155" spans="1:14" x14ac:dyDescent="0.3">
      <c r="A155" s="2" t="s">
        <v>1594</v>
      </c>
      <c r="B155" t="s">
        <v>319</v>
      </c>
      <c r="C155" s="2" t="s">
        <v>35</v>
      </c>
      <c r="D155" s="2" t="s">
        <v>72</v>
      </c>
      <c r="E155" s="2" t="s">
        <v>13</v>
      </c>
      <c r="F155" s="2" t="s">
        <v>65</v>
      </c>
      <c r="G155" s="3">
        <v>70</v>
      </c>
      <c r="H155" s="1" t="s">
        <v>1299</v>
      </c>
      <c r="I155">
        <f t="shared" si="13"/>
        <v>11</v>
      </c>
      <c r="J155" t="str">
        <f t="shared" si="14"/>
        <v>Diwali</v>
      </c>
      <c r="K155" t="str">
        <f t="shared" si="15"/>
        <v>Promoted</v>
      </c>
      <c r="L155" t="str">
        <f t="shared" si="16"/>
        <v>Known Employee</v>
      </c>
      <c r="M155">
        <f t="shared" si="18"/>
        <v>6</v>
      </c>
      <c r="N155" t="str">
        <f t="shared" si="17"/>
        <v>November</v>
      </c>
    </row>
    <row r="156" spans="1:14" x14ac:dyDescent="0.3">
      <c r="A156" s="2" t="s">
        <v>1298</v>
      </c>
      <c r="B156" t="s">
        <v>238</v>
      </c>
      <c r="C156" s="2" t="s">
        <v>53</v>
      </c>
      <c r="D156" s="2" t="s">
        <v>118</v>
      </c>
      <c r="E156" s="2" t="s">
        <v>13</v>
      </c>
      <c r="F156" s="2" t="s">
        <v>14</v>
      </c>
      <c r="G156" s="3">
        <v>181</v>
      </c>
      <c r="H156" s="1" t="s">
        <v>1299</v>
      </c>
      <c r="I156">
        <f t="shared" si="13"/>
        <v>11</v>
      </c>
      <c r="J156" t="str">
        <f t="shared" si="14"/>
        <v>Diwali</v>
      </c>
      <c r="K156" t="str">
        <f t="shared" si="15"/>
        <v>Promoted</v>
      </c>
      <c r="L156" t="str">
        <f t="shared" si="16"/>
        <v>Known Employee</v>
      </c>
      <c r="M156">
        <f t="shared" si="18"/>
        <v>6</v>
      </c>
      <c r="N156" t="str">
        <f t="shared" si="17"/>
        <v>November</v>
      </c>
    </row>
    <row r="157" spans="1:14" x14ac:dyDescent="0.3">
      <c r="A157" s="2" t="s">
        <v>1209</v>
      </c>
      <c r="B157" t="s">
        <v>754</v>
      </c>
      <c r="C157" s="2" t="s">
        <v>35</v>
      </c>
      <c r="D157" s="2" t="s">
        <v>44</v>
      </c>
      <c r="E157" s="2" t="s">
        <v>64</v>
      </c>
      <c r="F157" s="2" t="s">
        <v>25</v>
      </c>
      <c r="G157" s="3">
        <v>175</v>
      </c>
      <c r="H157" s="1" t="s">
        <v>1210</v>
      </c>
      <c r="I157">
        <f t="shared" si="13"/>
        <v>11</v>
      </c>
      <c r="J157" t="str">
        <f t="shared" si="14"/>
        <v>Diwali</v>
      </c>
      <c r="K157" t="str">
        <f t="shared" si="15"/>
        <v>Promoted</v>
      </c>
      <c r="L157" t="str">
        <f t="shared" si="16"/>
        <v>Known Employee</v>
      </c>
      <c r="M157">
        <f t="shared" si="18"/>
        <v>3</v>
      </c>
      <c r="N157" t="str">
        <f t="shared" si="17"/>
        <v>November</v>
      </c>
    </row>
    <row r="158" spans="1:14" x14ac:dyDescent="0.3">
      <c r="A158" s="2" t="s">
        <v>1842</v>
      </c>
      <c r="B158" t="s">
        <v>10</v>
      </c>
      <c r="C158" s="2" t="s">
        <v>53</v>
      </c>
      <c r="D158" s="2" t="s">
        <v>104</v>
      </c>
      <c r="E158" s="2" t="s">
        <v>13</v>
      </c>
      <c r="F158" s="2" t="s">
        <v>14</v>
      </c>
      <c r="G158" s="3">
        <v>650</v>
      </c>
      <c r="H158" s="1" t="s">
        <v>1843</v>
      </c>
      <c r="I158">
        <f t="shared" si="13"/>
        <v>11</v>
      </c>
      <c r="J158" t="str">
        <f t="shared" si="14"/>
        <v>Diwali</v>
      </c>
      <c r="K158" t="str">
        <f t="shared" si="15"/>
        <v>Promoted</v>
      </c>
      <c r="L158" t="str">
        <f t="shared" si="16"/>
        <v>Known Employee</v>
      </c>
      <c r="M158">
        <f t="shared" si="18"/>
        <v>6</v>
      </c>
      <c r="N158" t="str">
        <f t="shared" si="17"/>
        <v>November</v>
      </c>
    </row>
    <row r="159" spans="1:14" x14ac:dyDescent="0.3">
      <c r="A159" s="2" t="s">
        <v>1722</v>
      </c>
      <c r="B159" t="s">
        <v>1724</v>
      </c>
      <c r="C159" s="2" t="s">
        <v>35</v>
      </c>
      <c r="D159" s="2" t="s">
        <v>72</v>
      </c>
      <c r="E159" s="2" t="s">
        <v>13</v>
      </c>
      <c r="F159" s="2" t="s">
        <v>40</v>
      </c>
      <c r="G159" s="3">
        <v>316</v>
      </c>
      <c r="H159" s="1" t="s">
        <v>1723</v>
      </c>
      <c r="I159">
        <f t="shared" si="13"/>
        <v>11</v>
      </c>
      <c r="J159" t="str">
        <f t="shared" si="14"/>
        <v>Diwali</v>
      </c>
      <c r="K159" t="str">
        <f t="shared" si="15"/>
        <v>Promoted</v>
      </c>
      <c r="L159" t="str">
        <f t="shared" si="16"/>
        <v>Known Employee</v>
      </c>
      <c r="M159">
        <f t="shared" si="18"/>
        <v>1</v>
      </c>
      <c r="N159" t="str">
        <f t="shared" si="17"/>
        <v>November</v>
      </c>
    </row>
    <row r="160" spans="1:14" x14ac:dyDescent="0.3">
      <c r="A160" s="2" t="s">
        <v>906</v>
      </c>
      <c r="B160" t="s">
        <v>224</v>
      </c>
      <c r="C160" s="2" t="s">
        <v>18</v>
      </c>
      <c r="D160" s="2" t="s">
        <v>12</v>
      </c>
      <c r="E160" s="2" t="s">
        <v>13</v>
      </c>
      <c r="F160" s="2" t="s">
        <v>40</v>
      </c>
      <c r="G160" s="3">
        <v>581</v>
      </c>
      <c r="H160" s="1" t="s">
        <v>907</v>
      </c>
      <c r="I160">
        <f t="shared" si="13"/>
        <v>11</v>
      </c>
      <c r="J160" t="str">
        <f t="shared" si="14"/>
        <v>Diwali</v>
      </c>
      <c r="K160" t="str">
        <f t="shared" si="15"/>
        <v>Promoted</v>
      </c>
      <c r="L160" t="str">
        <f t="shared" si="16"/>
        <v>Known Employee</v>
      </c>
      <c r="M160">
        <f t="shared" si="18"/>
        <v>4</v>
      </c>
      <c r="N160" t="str">
        <f t="shared" si="17"/>
        <v>November</v>
      </c>
    </row>
    <row r="161" spans="1:14" x14ac:dyDescent="0.3">
      <c r="A161" s="2" t="s">
        <v>407</v>
      </c>
      <c r="B161" t="s">
        <v>186</v>
      </c>
      <c r="C161" s="2" t="s">
        <v>53</v>
      </c>
      <c r="D161" s="2" t="s">
        <v>83</v>
      </c>
      <c r="E161" s="2" t="s">
        <v>13</v>
      </c>
      <c r="F161" s="2" t="s">
        <v>14</v>
      </c>
      <c r="G161" s="3">
        <v>605</v>
      </c>
      <c r="H161" s="1" t="s">
        <v>408</v>
      </c>
      <c r="I161">
        <f t="shared" si="13"/>
        <v>11</v>
      </c>
      <c r="J161" t="str">
        <f t="shared" si="14"/>
        <v>Diwali</v>
      </c>
      <c r="K161" t="str">
        <f t="shared" si="15"/>
        <v>Promoted</v>
      </c>
      <c r="L161" t="str">
        <f t="shared" si="16"/>
        <v>Known Employee</v>
      </c>
      <c r="M161">
        <f t="shared" si="18"/>
        <v>7</v>
      </c>
      <c r="N161" t="str">
        <f t="shared" si="17"/>
        <v>November</v>
      </c>
    </row>
    <row r="162" spans="1:14" x14ac:dyDescent="0.3">
      <c r="A162" s="2" t="s">
        <v>1678</v>
      </c>
      <c r="B162" t="s">
        <v>57</v>
      </c>
      <c r="C162" s="2" t="s">
        <v>29</v>
      </c>
      <c r="D162" s="2" t="s">
        <v>49</v>
      </c>
      <c r="E162" s="2" t="s">
        <v>13</v>
      </c>
      <c r="F162" s="2" t="s">
        <v>14</v>
      </c>
      <c r="G162" s="3">
        <v>445</v>
      </c>
      <c r="H162" s="1" t="s">
        <v>1679</v>
      </c>
      <c r="I162">
        <f t="shared" si="13"/>
        <v>11</v>
      </c>
      <c r="J162" t="str">
        <f t="shared" si="14"/>
        <v>Diwali</v>
      </c>
      <c r="K162" t="str">
        <f t="shared" si="15"/>
        <v>Promoted</v>
      </c>
      <c r="L162" t="str">
        <f t="shared" si="16"/>
        <v>Known Employee</v>
      </c>
      <c r="M162">
        <f t="shared" si="18"/>
        <v>8</v>
      </c>
      <c r="N162" t="str">
        <f t="shared" si="17"/>
        <v>November</v>
      </c>
    </row>
    <row r="163" spans="1:14" x14ac:dyDescent="0.3">
      <c r="A163" s="2" t="s">
        <v>1465</v>
      </c>
      <c r="B163" t="s">
        <v>57</v>
      </c>
      <c r="C163" s="2" t="s">
        <v>35</v>
      </c>
      <c r="D163" s="2" t="s">
        <v>340</v>
      </c>
      <c r="E163" s="2" t="s">
        <v>13</v>
      </c>
      <c r="F163" s="2" t="s">
        <v>25</v>
      </c>
      <c r="G163" s="3">
        <v>720</v>
      </c>
      <c r="H163" s="1" t="s">
        <v>1466</v>
      </c>
      <c r="I163">
        <f t="shared" si="13"/>
        <v>11</v>
      </c>
      <c r="J163" t="str">
        <f t="shared" si="14"/>
        <v>Diwali</v>
      </c>
      <c r="K163" t="str">
        <f t="shared" si="15"/>
        <v>Promoted</v>
      </c>
      <c r="L163" t="str">
        <f t="shared" si="16"/>
        <v>Known Employee</v>
      </c>
      <c r="M163">
        <f t="shared" si="18"/>
        <v>8</v>
      </c>
      <c r="N163" t="str">
        <f t="shared" si="17"/>
        <v>November</v>
      </c>
    </row>
    <row r="164" spans="1:14" x14ac:dyDescent="0.3">
      <c r="A164" s="2" t="s">
        <v>1613</v>
      </c>
      <c r="B164" t="s">
        <v>267</v>
      </c>
      <c r="C164" s="2" t="s">
        <v>246</v>
      </c>
      <c r="D164" s="2" t="s">
        <v>140</v>
      </c>
      <c r="E164" s="2" t="s">
        <v>158</v>
      </c>
      <c r="F164" s="2" t="s">
        <v>14</v>
      </c>
      <c r="G164" s="3">
        <v>193.8</v>
      </c>
      <c r="H164" s="1" t="s">
        <v>1357</v>
      </c>
      <c r="I164">
        <f t="shared" si="13"/>
        <v>11</v>
      </c>
      <c r="J164" t="str">
        <f t="shared" si="14"/>
        <v>Diwali</v>
      </c>
      <c r="K164" t="str">
        <f t="shared" si="15"/>
        <v>Promoted</v>
      </c>
      <c r="L164" t="str">
        <f t="shared" si="16"/>
        <v>Known Employee</v>
      </c>
      <c r="M164">
        <f t="shared" si="18"/>
        <v>8</v>
      </c>
      <c r="N164" t="str">
        <f t="shared" si="17"/>
        <v>November</v>
      </c>
    </row>
    <row r="165" spans="1:14" x14ac:dyDescent="0.3">
      <c r="A165" s="2" t="s">
        <v>1356</v>
      </c>
      <c r="B165" t="s">
        <v>388</v>
      </c>
      <c r="C165" s="2" t="s">
        <v>29</v>
      </c>
      <c r="D165" s="2" t="s">
        <v>1945</v>
      </c>
      <c r="E165" s="2" t="s">
        <v>13</v>
      </c>
      <c r="F165" s="2" t="s">
        <v>65</v>
      </c>
      <c r="G165" s="3">
        <v>437</v>
      </c>
      <c r="H165" s="1" t="s">
        <v>1357</v>
      </c>
      <c r="I165">
        <f t="shared" si="13"/>
        <v>11</v>
      </c>
      <c r="J165" t="str">
        <f t="shared" si="14"/>
        <v>Diwali</v>
      </c>
      <c r="K165" t="str">
        <f t="shared" si="15"/>
        <v>Promoted</v>
      </c>
      <c r="L165" t="str">
        <f t="shared" si="16"/>
        <v>Employee</v>
      </c>
      <c r="M165">
        <f t="shared" si="18"/>
        <v>2</v>
      </c>
      <c r="N165" t="str">
        <f t="shared" si="17"/>
        <v>November</v>
      </c>
    </row>
    <row r="166" spans="1:14" x14ac:dyDescent="0.3">
      <c r="A166" s="2" t="s">
        <v>590</v>
      </c>
      <c r="B166" t="s">
        <v>497</v>
      </c>
      <c r="C166" s="2" t="s">
        <v>53</v>
      </c>
      <c r="D166" s="2" t="s">
        <v>83</v>
      </c>
      <c r="E166" s="2" t="s">
        <v>13</v>
      </c>
      <c r="F166" s="2" t="s">
        <v>40</v>
      </c>
      <c r="G166" s="3">
        <v>475</v>
      </c>
      <c r="H166" s="1" t="s">
        <v>591</v>
      </c>
      <c r="I166">
        <f t="shared" si="13"/>
        <v>11</v>
      </c>
      <c r="J166" t="str">
        <f t="shared" si="14"/>
        <v>Diwali</v>
      </c>
      <c r="K166" t="str">
        <f t="shared" si="15"/>
        <v>Promoted</v>
      </c>
      <c r="L166" t="str">
        <f t="shared" si="16"/>
        <v>Known Employee</v>
      </c>
      <c r="M166">
        <f t="shared" si="18"/>
        <v>6</v>
      </c>
      <c r="N166" t="str">
        <f t="shared" si="17"/>
        <v>November</v>
      </c>
    </row>
    <row r="167" spans="1:14" x14ac:dyDescent="0.3">
      <c r="A167" s="2" t="s">
        <v>772</v>
      </c>
      <c r="B167" t="s">
        <v>308</v>
      </c>
      <c r="C167" s="2" t="s">
        <v>18</v>
      </c>
      <c r="D167" s="2" t="s">
        <v>19</v>
      </c>
      <c r="E167" s="2" t="s">
        <v>158</v>
      </c>
      <c r="F167" s="2" t="s">
        <v>25</v>
      </c>
      <c r="G167" s="3">
        <v>55.1</v>
      </c>
      <c r="H167" s="1" t="s">
        <v>773</v>
      </c>
      <c r="I167">
        <f t="shared" si="13"/>
        <v>11</v>
      </c>
      <c r="J167" t="str">
        <f t="shared" si="14"/>
        <v>Diwali</v>
      </c>
      <c r="K167" t="str">
        <f t="shared" si="15"/>
        <v>Promoted</v>
      </c>
      <c r="L167" t="str">
        <f t="shared" si="16"/>
        <v>Known Employee</v>
      </c>
      <c r="M167">
        <f t="shared" si="18"/>
        <v>4</v>
      </c>
      <c r="N167" t="str">
        <f t="shared" si="17"/>
        <v>November</v>
      </c>
    </row>
    <row r="168" spans="1:14" x14ac:dyDescent="0.3">
      <c r="A168" s="2" t="s">
        <v>317</v>
      </c>
      <c r="B168" t="s">
        <v>319</v>
      </c>
      <c r="C168" s="2" t="s">
        <v>18</v>
      </c>
      <c r="D168" s="2" t="s">
        <v>23</v>
      </c>
      <c r="E168" s="2" t="s">
        <v>13</v>
      </c>
      <c r="F168" s="2" t="s">
        <v>14</v>
      </c>
      <c r="G168" s="3">
        <v>434</v>
      </c>
      <c r="H168" s="1" t="s">
        <v>318</v>
      </c>
      <c r="I168">
        <f t="shared" si="13"/>
        <v>11</v>
      </c>
      <c r="J168" t="str">
        <f t="shared" si="14"/>
        <v>Diwali</v>
      </c>
      <c r="K168" t="str">
        <f t="shared" si="15"/>
        <v>Promoted</v>
      </c>
      <c r="L168" t="str">
        <f t="shared" si="16"/>
        <v>Known Employee</v>
      </c>
      <c r="M168">
        <f t="shared" si="18"/>
        <v>6</v>
      </c>
      <c r="N168" t="str">
        <f t="shared" si="17"/>
        <v>November</v>
      </c>
    </row>
    <row r="169" spans="1:14" x14ac:dyDescent="0.3">
      <c r="A169" s="2" t="s">
        <v>1165</v>
      </c>
      <c r="B169" t="s">
        <v>644</v>
      </c>
      <c r="C169" s="2" t="s">
        <v>35</v>
      </c>
      <c r="D169" s="2" t="s">
        <v>44</v>
      </c>
      <c r="E169" s="2" t="s">
        <v>158</v>
      </c>
      <c r="F169" s="2" t="s">
        <v>65</v>
      </c>
      <c r="G169" s="3">
        <v>221.35</v>
      </c>
      <c r="H169" s="1" t="s">
        <v>1166</v>
      </c>
      <c r="I169">
        <f t="shared" si="13"/>
        <v>12</v>
      </c>
      <c r="J169" t="str">
        <f t="shared" si="14"/>
        <v>Regular</v>
      </c>
      <c r="K169" t="str">
        <f t="shared" si="15"/>
        <v>Promoted</v>
      </c>
      <c r="L169" t="str">
        <f t="shared" si="16"/>
        <v>Known Employee</v>
      </c>
      <c r="M169">
        <f t="shared" si="18"/>
        <v>5</v>
      </c>
      <c r="N169" t="str">
        <f t="shared" si="17"/>
        <v>December</v>
      </c>
    </row>
    <row r="170" spans="1:14" x14ac:dyDescent="0.3">
      <c r="A170" s="2" t="s">
        <v>1804</v>
      </c>
      <c r="B170" t="s">
        <v>668</v>
      </c>
      <c r="C170" s="2" t="s">
        <v>35</v>
      </c>
      <c r="D170" s="2" t="s">
        <v>36</v>
      </c>
      <c r="E170" s="2" t="s">
        <v>158</v>
      </c>
      <c r="F170" s="2" t="s">
        <v>65</v>
      </c>
      <c r="G170" s="3">
        <v>294.5</v>
      </c>
      <c r="H170" s="1" t="s">
        <v>1805</v>
      </c>
      <c r="I170">
        <f t="shared" si="13"/>
        <v>12</v>
      </c>
      <c r="J170" t="str">
        <f t="shared" si="14"/>
        <v>Regular</v>
      </c>
      <c r="K170" t="str">
        <f t="shared" si="15"/>
        <v>Promoted</v>
      </c>
      <c r="L170" t="str">
        <f t="shared" si="16"/>
        <v>Known Employee</v>
      </c>
      <c r="M170">
        <f t="shared" si="18"/>
        <v>4</v>
      </c>
      <c r="N170" t="str">
        <f t="shared" si="17"/>
        <v>December</v>
      </c>
    </row>
    <row r="171" spans="1:14" x14ac:dyDescent="0.3">
      <c r="A171" s="2" t="s">
        <v>944</v>
      </c>
      <c r="B171" t="s">
        <v>261</v>
      </c>
      <c r="C171" s="2" t="s">
        <v>53</v>
      </c>
      <c r="D171" s="2" t="s">
        <v>118</v>
      </c>
      <c r="E171" s="2" t="s">
        <v>54</v>
      </c>
      <c r="F171" s="2" t="s">
        <v>14</v>
      </c>
      <c r="G171" s="3">
        <v>153</v>
      </c>
      <c r="H171" s="1" t="s">
        <v>1955</v>
      </c>
      <c r="I171">
        <f t="shared" si="13"/>
        <v>12</v>
      </c>
      <c r="J171" t="str">
        <f t="shared" si="14"/>
        <v>Regular</v>
      </c>
      <c r="K171" t="str">
        <f t="shared" si="15"/>
        <v>Promoted</v>
      </c>
      <c r="L171" t="str">
        <f t="shared" si="16"/>
        <v>Known Employee</v>
      </c>
      <c r="M171">
        <f t="shared" si="18"/>
        <v>4</v>
      </c>
      <c r="N171" t="str">
        <f t="shared" si="17"/>
        <v>December</v>
      </c>
    </row>
    <row r="172" spans="1:14" x14ac:dyDescent="0.3">
      <c r="A172" s="2" t="s">
        <v>239</v>
      </c>
      <c r="B172" t="s">
        <v>241</v>
      </c>
      <c r="C172" s="2" t="s">
        <v>35</v>
      </c>
      <c r="D172" s="2" t="s">
        <v>44</v>
      </c>
      <c r="E172" s="2" t="s">
        <v>13</v>
      </c>
      <c r="F172" s="2" t="s">
        <v>65</v>
      </c>
      <c r="G172" s="3">
        <v>300</v>
      </c>
      <c r="H172" s="1" t="s">
        <v>240</v>
      </c>
      <c r="I172">
        <f t="shared" si="13"/>
        <v>12</v>
      </c>
      <c r="J172" t="str">
        <f t="shared" si="14"/>
        <v>Regular</v>
      </c>
      <c r="K172" t="str">
        <f t="shared" si="15"/>
        <v>Promoted</v>
      </c>
      <c r="L172" t="str">
        <f t="shared" si="16"/>
        <v>Known Employee</v>
      </c>
      <c r="M172">
        <f t="shared" si="18"/>
        <v>1</v>
      </c>
      <c r="N172" t="str">
        <f t="shared" si="17"/>
        <v>December</v>
      </c>
    </row>
    <row r="173" spans="1:14" x14ac:dyDescent="0.3">
      <c r="A173" s="2" t="s">
        <v>1215</v>
      </c>
      <c r="B173" t="s">
        <v>183</v>
      </c>
      <c r="C173" s="2" t="s">
        <v>35</v>
      </c>
      <c r="D173" s="2" t="s">
        <v>340</v>
      </c>
      <c r="E173" s="2" t="s">
        <v>13</v>
      </c>
      <c r="F173" s="2" t="s">
        <v>1945</v>
      </c>
      <c r="G173" s="3">
        <v>360</v>
      </c>
      <c r="H173" s="1" t="s">
        <v>1216</v>
      </c>
      <c r="I173">
        <f t="shared" si="13"/>
        <v>12</v>
      </c>
      <c r="J173" t="str">
        <f t="shared" si="14"/>
        <v>Regular</v>
      </c>
      <c r="K173" t="str">
        <f t="shared" si="15"/>
        <v>Promoted</v>
      </c>
      <c r="L173" t="str">
        <f t="shared" si="16"/>
        <v>Known Employee</v>
      </c>
      <c r="M173">
        <f t="shared" si="18"/>
        <v>6</v>
      </c>
      <c r="N173" t="str">
        <f t="shared" si="17"/>
        <v>December</v>
      </c>
    </row>
    <row r="174" spans="1:14" x14ac:dyDescent="0.3">
      <c r="A174" s="2" t="s">
        <v>1461</v>
      </c>
      <c r="B174" t="s">
        <v>264</v>
      </c>
      <c r="C174" s="2" t="s">
        <v>53</v>
      </c>
      <c r="D174" s="2" t="s">
        <v>138</v>
      </c>
      <c r="E174" s="2" t="s">
        <v>1946</v>
      </c>
      <c r="F174" s="2" t="s">
        <v>40</v>
      </c>
      <c r="G174" s="3">
        <v>160</v>
      </c>
      <c r="H174" s="1" t="s">
        <v>1109</v>
      </c>
      <c r="I174">
        <f t="shared" si="13"/>
        <v>12</v>
      </c>
      <c r="J174" t="str">
        <f t="shared" si="14"/>
        <v>Regular</v>
      </c>
      <c r="K174" t="str">
        <f t="shared" si="15"/>
        <v>Not Promoted</v>
      </c>
      <c r="L174" t="str">
        <f t="shared" si="16"/>
        <v>Known Employee</v>
      </c>
      <c r="M174">
        <f t="shared" si="18"/>
        <v>6</v>
      </c>
      <c r="N174" t="str">
        <f t="shared" si="17"/>
        <v>December</v>
      </c>
    </row>
    <row r="175" spans="1:14" x14ac:dyDescent="0.3">
      <c r="A175" s="2" t="s">
        <v>1910</v>
      </c>
      <c r="B175" t="s">
        <v>152</v>
      </c>
      <c r="C175" s="2" t="s">
        <v>35</v>
      </c>
      <c r="D175" s="2" t="s">
        <v>36</v>
      </c>
      <c r="E175" s="2" t="s">
        <v>54</v>
      </c>
      <c r="F175" s="2" t="s">
        <v>65</v>
      </c>
      <c r="G175" s="3">
        <v>548.25</v>
      </c>
      <c r="H175" s="1" t="s">
        <v>1109</v>
      </c>
      <c r="I175">
        <f t="shared" si="13"/>
        <v>12</v>
      </c>
      <c r="J175" t="str">
        <f t="shared" si="14"/>
        <v>Regular</v>
      </c>
      <c r="K175" t="str">
        <f t="shared" si="15"/>
        <v>Promoted</v>
      </c>
      <c r="L175" t="str">
        <f t="shared" si="16"/>
        <v>Known Employee</v>
      </c>
      <c r="M175">
        <f t="shared" si="18"/>
        <v>4</v>
      </c>
      <c r="N175" t="str">
        <f t="shared" si="17"/>
        <v>December</v>
      </c>
    </row>
    <row r="176" spans="1:14" x14ac:dyDescent="0.3">
      <c r="A176" s="2" t="s">
        <v>1108</v>
      </c>
      <c r="B176" t="s">
        <v>1070</v>
      </c>
      <c r="C176" s="2" t="s">
        <v>35</v>
      </c>
      <c r="D176" s="2" t="s">
        <v>72</v>
      </c>
      <c r="E176" s="2" t="s">
        <v>13</v>
      </c>
      <c r="F176" s="2" t="s">
        <v>65</v>
      </c>
      <c r="G176" s="3">
        <v>204</v>
      </c>
      <c r="H176" s="1" t="s">
        <v>1109</v>
      </c>
      <c r="I176">
        <f t="shared" si="13"/>
        <v>12</v>
      </c>
      <c r="J176" t="str">
        <f t="shared" si="14"/>
        <v>Regular</v>
      </c>
      <c r="K176" t="str">
        <f t="shared" si="15"/>
        <v>Promoted</v>
      </c>
      <c r="L176" t="str">
        <f t="shared" si="16"/>
        <v>Known Employee</v>
      </c>
      <c r="M176">
        <f t="shared" si="18"/>
        <v>5</v>
      </c>
      <c r="N176" t="str">
        <f t="shared" si="17"/>
        <v>December</v>
      </c>
    </row>
    <row r="177" spans="1:14" x14ac:dyDescent="0.3">
      <c r="A177" s="2" t="s">
        <v>304</v>
      </c>
      <c r="B177" t="s">
        <v>238</v>
      </c>
      <c r="C177" s="2" t="s">
        <v>18</v>
      </c>
      <c r="D177" s="2" t="s">
        <v>295</v>
      </c>
      <c r="E177" s="2" t="s">
        <v>13</v>
      </c>
      <c r="F177" s="2" t="s">
        <v>25</v>
      </c>
      <c r="G177" s="3">
        <v>116</v>
      </c>
      <c r="H177" s="1" t="s">
        <v>305</v>
      </c>
      <c r="I177">
        <f t="shared" si="13"/>
        <v>12</v>
      </c>
      <c r="J177" t="str">
        <f t="shared" si="14"/>
        <v>Regular</v>
      </c>
      <c r="K177" t="str">
        <f t="shared" si="15"/>
        <v>Promoted</v>
      </c>
      <c r="L177" t="str">
        <f t="shared" si="16"/>
        <v>Known Employee</v>
      </c>
      <c r="M177">
        <f t="shared" si="18"/>
        <v>6</v>
      </c>
      <c r="N177" t="str">
        <f t="shared" si="17"/>
        <v>December</v>
      </c>
    </row>
    <row r="178" spans="1:14" x14ac:dyDescent="0.3">
      <c r="A178" s="2" t="s">
        <v>1812</v>
      </c>
      <c r="B178" t="s">
        <v>219</v>
      </c>
      <c r="C178" s="2" t="s">
        <v>53</v>
      </c>
      <c r="D178" s="2" t="s">
        <v>138</v>
      </c>
      <c r="E178" s="2" t="s">
        <v>54</v>
      </c>
      <c r="F178" s="2" t="s">
        <v>25</v>
      </c>
      <c r="G178" s="3">
        <v>370.6</v>
      </c>
      <c r="H178" s="1" t="s">
        <v>1813</v>
      </c>
      <c r="I178">
        <f t="shared" si="13"/>
        <v>12</v>
      </c>
      <c r="J178" t="str">
        <f t="shared" si="14"/>
        <v>Regular</v>
      </c>
      <c r="K178" t="str">
        <f t="shared" si="15"/>
        <v>Promoted</v>
      </c>
      <c r="L178" t="str">
        <f t="shared" si="16"/>
        <v>Known Employee</v>
      </c>
      <c r="M178">
        <f t="shared" si="18"/>
        <v>4</v>
      </c>
      <c r="N178" t="str">
        <f t="shared" si="17"/>
        <v>December</v>
      </c>
    </row>
    <row r="179" spans="1:14" x14ac:dyDescent="0.3">
      <c r="A179" s="2" t="s">
        <v>458</v>
      </c>
      <c r="B179" t="s">
        <v>460</v>
      </c>
      <c r="C179" s="2" t="s">
        <v>53</v>
      </c>
      <c r="D179" s="2" t="s">
        <v>83</v>
      </c>
      <c r="E179" s="2" t="s">
        <v>158</v>
      </c>
      <c r="F179" s="2" t="s">
        <v>40</v>
      </c>
      <c r="G179" s="3">
        <v>674.5</v>
      </c>
      <c r="H179" s="1" t="s">
        <v>459</v>
      </c>
      <c r="I179">
        <f t="shared" si="13"/>
        <v>12</v>
      </c>
      <c r="J179" t="str">
        <f t="shared" si="14"/>
        <v>Regular</v>
      </c>
      <c r="K179" t="str">
        <f t="shared" si="15"/>
        <v>Promoted</v>
      </c>
      <c r="L179" t="str">
        <f t="shared" si="16"/>
        <v>Known Employee</v>
      </c>
      <c r="M179">
        <f t="shared" si="18"/>
        <v>4</v>
      </c>
      <c r="N179" t="str">
        <f t="shared" si="17"/>
        <v>December</v>
      </c>
    </row>
    <row r="180" spans="1:14" x14ac:dyDescent="0.3">
      <c r="A180" s="2" t="s">
        <v>1767</v>
      </c>
      <c r="B180" t="s">
        <v>615</v>
      </c>
      <c r="C180" s="2" t="s">
        <v>29</v>
      </c>
      <c r="D180" s="2" t="s">
        <v>123</v>
      </c>
      <c r="E180" s="2" t="s">
        <v>1946</v>
      </c>
      <c r="F180" s="2" t="s">
        <v>65</v>
      </c>
      <c r="G180" s="3">
        <v>55</v>
      </c>
      <c r="H180" s="1" t="s">
        <v>1768</v>
      </c>
      <c r="I180">
        <f t="shared" si="13"/>
        <v>12</v>
      </c>
      <c r="J180" t="str">
        <f t="shared" si="14"/>
        <v>Regular</v>
      </c>
      <c r="K180" t="str">
        <f t="shared" si="15"/>
        <v>Not Promoted</v>
      </c>
      <c r="L180" t="str">
        <f t="shared" si="16"/>
        <v>Known Employee</v>
      </c>
      <c r="M180">
        <f t="shared" si="18"/>
        <v>5</v>
      </c>
      <c r="N180" t="str">
        <f t="shared" si="17"/>
        <v>December</v>
      </c>
    </row>
    <row r="181" spans="1:14" x14ac:dyDescent="0.3">
      <c r="A181" s="2" t="s">
        <v>461</v>
      </c>
      <c r="B181" t="s">
        <v>463</v>
      </c>
      <c r="C181" s="2" t="s">
        <v>53</v>
      </c>
      <c r="D181" s="2" t="s">
        <v>464</v>
      </c>
      <c r="E181" s="2" t="s">
        <v>13</v>
      </c>
      <c r="F181" s="2" t="s">
        <v>65</v>
      </c>
      <c r="G181" s="3">
        <v>335</v>
      </c>
      <c r="H181" s="1" t="s">
        <v>462</v>
      </c>
      <c r="I181">
        <f t="shared" si="13"/>
        <v>12</v>
      </c>
      <c r="J181" t="str">
        <f t="shared" si="14"/>
        <v>Regular</v>
      </c>
      <c r="K181" t="str">
        <f t="shared" si="15"/>
        <v>Promoted</v>
      </c>
      <c r="L181" t="str">
        <f t="shared" si="16"/>
        <v>Known Employee</v>
      </c>
      <c r="M181">
        <f t="shared" si="18"/>
        <v>3</v>
      </c>
      <c r="N181" t="str">
        <f t="shared" si="17"/>
        <v>December</v>
      </c>
    </row>
    <row r="182" spans="1:14" x14ac:dyDescent="0.3">
      <c r="A182" s="2" t="s">
        <v>999</v>
      </c>
      <c r="B182" t="s">
        <v>1000</v>
      </c>
      <c r="C182" s="2" t="s">
        <v>53</v>
      </c>
      <c r="D182" s="2" t="s">
        <v>83</v>
      </c>
      <c r="E182" s="2" t="s">
        <v>13</v>
      </c>
      <c r="F182" s="2" t="s">
        <v>65</v>
      </c>
      <c r="G182" s="3">
        <v>493</v>
      </c>
      <c r="H182" s="1" t="s">
        <v>703</v>
      </c>
      <c r="I182">
        <f t="shared" si="13"/>
        <v>12</v>
      </c>
      <c r="J182" t="str">
        <f t="shared" si="14"/>
        <v>Regular</v>
      </c>
      <c r="K182" t="str">
        <f t="shared" si="15"/>
        <v>Promoted</v>
      </c>
      <c r="L182" t="str">
        <f t="shared" si="16"/>
        <v>Known Employee</v>
      </c>
      <c r="M182">
        <f t="shared" si="18"/>
        <v>3</v>
      </c>
      <c r="N182" t="str">
        <f t="shared" si="17"/>
        <v>December</v>
      </c>
    </row>
    <row r="183" spans="1:14" x14ac:dyDescent="0.3">
      <c r="A183" s="2" t="s">
        <v>702</v>
      </c>
      <c r="B183" t="s">
        <v>523</v>
      </c>
      <c r="C183" s="2" t="s">
        <v>53</v>
      </c>
      <c r="D183" s="2" t="s">
        <v>138</v>
      </c>
      <c r="E183" s="2" t="s">
        <v>13</v>
      </c>
      <c r="F183" s="2" t="s">
        <v>1945</v>
      </c>
      <c r="G183" s="3">
        <v>453</v>
      </c>
      <c r="H183" s="1" t="s">
        <v>703</v>
      </c>
      <c r="I183">
        <f t="shared" si="13"/>
        <v>12</v>
      </c>
      <c r="J183" t="str">
        <f t="shared" si="14"/>
        <v>Regular</v>
      </c>
      <c r="K183" t="str">
        <f t="shared" si="15"/>
        <v>Promoted</v>
      </c>
      <c r="L183" t="str">
        <f t="shared" si="16"/>
        <v>Known Employee</v>
      </c>
      <c r="M183">
        <f t="shared" si="18"/>
        <v>3</v>
      </c>
      <c r="N183" t="str">
        <f t="shared" si="17"/>
        <v>December</v>
      </c>
    </row>
    <row r="184" spans="1:14" x14ac:dyDescent="0.3">
      <c r="A184" s="2" t="s">
        <v>1313</v>
      </c>
      <c r="B184" t="s">
        <v>155</v>
      </c>
      <c r="C184" s="2" t="s">
        <v>29</v>
      </c>
      <c r="D184" s="2" t="s">
        <v>49</v>
      </c>
      <c r="E184" s="2" t="s">
        <v>13</v>
      </c>
      <c r="F184" s="2" t="s">
        <v>40</v>
      </c>
      <c r="G184" s="3">
        <v>68</v>
      </c>
      <c r="H184" s="1" t="s">
        <v>1314</v>
      </c>
      <c r="I184">
        <f t="shared" si="13"/>
        <v>12</v>
      </c>
      <c r="J184" t="str">
        <f t="shared" si="14"/>
        <v>Regular</v>
      </c>
      <c r="K184" t="str">
        <f t="shared" si="15"/>
        <v>Promoted</v>
      </c>
      <c r="L184" t="str">
        <f t="shared" si="16"/>
        <v>Known Employee</v>
      </c>
      <c r="M184">
        <f t="shared" si="18"/>
        <v>5</v>
      </c>
      <c r="N184" t="str">
        <f t="shared" si="17"/>
        <v>December</v>
      </c>
    </row>
    <row r="185" spans="1:14" x14ac:dyDescent="0.3">
      <c r="A185" s="2" t="s">
        <v>981</v>
      </c>
      <c r="B185" t="s">
        <v>79</v>
      </c>
      <c r="C185" s="2" t="s">
        <v>35</v>
      </c>
      <c r="D185" s="2" t="s">
        <v>140</v>
      </c>
      <c r="E185" s="2" t="s">
        <v>24</v>
      </c>
      <c r="F185" s="2" t="s">
        <v>25</v>
      </c>
      <c r="G185" s="3">
        <v>590.4</v>
      </c>
      <c r="H185" s="1" t="s">
        <v>982</v>
      </c>
      <c r="I185">
        <f t="shared" si="13"/>
        <v>12</v>
      </c>
      <c r="J185" t="str">
        <f t="shared" si="14"/>
        <v>Regular</v>
      </c>
      <c r="K185" t="str">
        <f t="shared" si="15"/>
        <v>Promoted</v>
      </c>
      <c r="L185" t="str">
        <f t="shared" si="16"/>
        <v>Known Employee</v>
      </c>
      <c r="M185">
        <f t="shared" si="18"/>
        <v>7</v>
      </c>
      <c r="N185" t="str">
        <f t="shared" si="17"/>
        <v>December</v>
      </c>
    </row>
    <row r="186" spans="1:14" x14ac:dyDescent="0.3">
      <c r="A186" s="2" t="s">
        <v>350</v>
      </c>
      <c r="B186" t="s">
        <v>352</v>
      </c>
      <c r="C186" s="2" t="s">
        <v>29</v>
      </c>
      <c r="D186" s="2" t="s">
        <v>200</v>
      </c>
      <c r="E186" s="2" t="s">
        <v>13</v>
      </c>
      <c r="F186" s="2" t="s">
        <v>40</v>
      </c>
      <c r="G186" s="3">
        <v>210</v>
      </c>
      <c r="H186" s="1" t="s">
        <v>351</v>
      </c>
      <c r="I186">
        <f t="shared" si="13"/>
        <v>1</v>
      </c>
      <c r="J186" t="str">
        <f t="shared" si="14"/>
        <v>Makar Sankranti</v>
      </c>
      <c r="K186" t="str">
        <f t="shared" si="15"/>
        <v>Promoted</v>
      </c>
      <c r="L186" t="str">
        <f t="shared" si="16"/>
        <v>Known Employee</v>
      </c>
      <c r="M186">
        <f t="shared" si="18"/>
        <v>3</v>
      </c>
      <c r="N186" t="str">
        <f t="shared" si="17"/>
        <v>January</v>
      </c>
    </row>
    <row r="187" spans="1:14" x14ac:dyDescent="0.3">
      <c r="A187" s="2" t="s">
        <v>821</v>
      </c>
      <c r="B187" t="s">
        <v>400</v>
      </c>
      <c r="C187" s="2" t="s">
        <v>53</v>
      </c>
      <c r="D187" s="2" t="s">
        <v>104</v>
      </c>
      <c r="E187" s="2" t="s">
        <v>54</v>
      </c>
      <c r="F187" s="2" t="s">
        <v>65</v>
      </c>
      <c r="G187" s="3">
        <v>136</v>
      </c>
      <c r="H187" s="1" t="s">
        <v>822</v>
      </c>
      <c r="I187">
        <f t="shared" si="13"/>
        <v>1</v>
      </c>
      <c r="J187" t="str">
        <f t="shared" si="14"/>
        <v>Makar Sankranti</v>
      </c>
      <c r="K187" t="str">
        <f t="shared" si="15"/>
        <v>Promoted</v>
      </c>
      <c r="L187" t="str">
        <f t="shared" si="16"/>
        <v>Known Employee</v>
      </c>
      <c r="M187">
        <f t="shared" si="18"/>
        <v>5</v>
      </c>
      <c r="N187" t="str">
        <f t="shared" si="17"/>
        <v>January</v>
      </c>
    </row>
    <row r="188" spans="1:14" x14ac:dyDescent="0.3">
      <c r="A188" s="2" t="s">
        <v>61</v>
      </c>
      <c r="B188" t="s">
        <v>63</v>
      </c>
      <c r="C188" s="2" t="s">
        <v>29</v>
      </c>
      <c r="D188" s="2" t="s">
        <v>49</v>
      </c>
      <c r="E188" s="2" t="s">
        <v>64</v>
      </c>
      <c r="F188" s="2" t="s">
        <v>65</v>
      </c>
      <c r="G188" s="3">
        <v>305</v>
      </c>
      <c r="H188" s="1" t="s">
        <v>1897</v>
      </c>
      <c r="I188">
        <f t="shared" si="13"/>
        <v>1</v>
      </c>
      <c r="J188" t="str">
        <f t="shared" si="14"/>
        <v>Makar Sankranti</v>
      </c>
      <c r="K188" t="str">
        <f t="shared" si="15"/>
        <v>Promoted</v>
      </c>
      <c r="L188" t="str">
        <f t="shared" si="16"/>
        <v>Known Employee</v>
      </c>
      <c r="M188">
        <f t="shared" si="18"/>
        <v>5</v>
      </c>
      <c r="N188" t="str">
        <f t="shared" si="17"/>
        <v>January</v>
      </c>
    </row>
    <row r="189" spans="1:14" x14ac:dyDescent="0.3">
      <c r="A189" s="2" t="s">
        <v>741</v>
      </c>
      <c r="B189" t="s">
        <v>743</v>
      </c>
      <c r="C189" s="2" t="s">
        <v>29</v>
      </c>
      <c r="D189" s="2" t="s">
        <v>123</v>
      </c>
      <c r="E189" s="2" t="s">
        <v>13</v>
      </c>
      <c r="F189" s="2" t="s">
        <v>25</v>
      </c>
      <c r="G189" s="3">
        <v>190</v>
      </c>
      <c r="H189" s="1" t="s">
        <v>742</v>
      </c>
      <c r="I189">
        <f t="shared" si="13"/>
        <v>1</v>
      </c>
      <c r="J189" t="str">
        <f t="shared" si="14"/>
        <v>Makar Sankranti</v>
      </c>
      <c r="K189" t="str">
        <f t="shared" si="15"/>
        <v>Promoted</v>
      </c>
      <c r="L189" t="str">
        <f t="shared" si="16"/>
        <v>Known Employee</v>
      </c>
      <c r="M189">
        <f t="shared" si="18"/>
        <v>4</v>
      </c>
      <c r="N189" t="str">
        <f t="shared" si="17"/>
        <v>January</v>
      </c>
    </row>
    <row r="190" spans="1:14" x14ac:dyDescent="0.3">
      <c r="A190" s="2" t="s">
        <v>1865</v>
      </c>
      <c r="B190" t="s">
        <v>1164</v>
      </c>
      <c r="C190" s="2" t="s">
        <v>53</v>
      </c>
      <c r="D190" s="2" t="s">
        <v>118</v>
      </c>
      <c r="E190" s="2" t="s">
        <v>13</v>
      </c>
      <c r="F190" s="2" t="s">
        <v>65</v>
      </c>
      <c r="G190" s="3">
        <v>195</v>
      </c>
      <c r="H190" s="1" t="s">
        <v>1037</v>
      </c>
      <c r="I190">
        <f t="shared" si="13"/>
        <v>1</v>
      </c>
      <c r="J190" t="str">
        <f t="shared" si="14"/>
        <v>Makar Sankranti</v>
      </c>
      <c r="K190" t="str">
        <f t="shared" si="15"/>
        <v>Promoted</v>
      </c>
      <c r="L190" t="str">
        <f t="shared" si="16"/>
        <v>Known Employee</v>
      </c>
      <c r="M190">
        <f t="shared" si="18"/>
        <v>5</v>
      </c>
      <c r="N190" t="str">
        <f t="shared" si="17"/>
        <v>January</v>
      </c>
    </row>
    <row r="191" spans="1:14" x14ac:dyDescent="0.3">
      <c r="A191" s="2" t="s">
        <v>1036</v>
      </c>
      <c r="B191" t="s">
        <v>161</v>
      </c>
      <c r="C191" s="2" t="s">
        <v>53</v>
      </c>
      <c r="D191" s="2" t="s">
        <v>83</v>
      </c>
      <c r="E191" s="2" t="s">
        <v>13</v>
      </c>
      <c r="F191" s="2" t="s">
        <v>65</v>
      </c>
      <c r="G191" s="3">
        <v>210</v>
      </c>
      <c r="H191" s="1" t="s">
        <v>1037</v>
      </c>
      <c r="I191">
        <f t="shared" si="13"/>
        <v>1</v>
      </c>
      <c r="J191" t="str">
        <f t="shared" si="14"/>
        <v>Makar Sankranti</v>
      </c>
      <c r="K191" t="str">
        <f t="shared" si="15"/>
        <v>Promoted</v>
      </c>
      <c r="L191" t="str">
        <f t="shared" si="16"/>
        <v>Known Employee</v>
      </c>
      <c r="M191">
        <f t="shared" si="18"/>
        <v>4</v>
      </c>
      <c r="N191" t="str">
        <f t="shared" si="17"/>
        <v>January</v>
      </c>
    </row>
    <row r="192" spans="1:14" x14ac:dyDescent="0.3">
      <c r="A192" s="2" t="s">
        <v>592</v>
      </c>
      <c r="B192" t="s">
        <v>594</v>
      </c>
      <c r="C192" s="2" t="s">
        <v>18</v>
      </c>
      <c r="D192" s="2" t="s">
        <v>87</v>
      </c>
      <c r="E192" s="2" t="s">
        <v>13</v>
      </c>
      <c r="F192" s="2" t="s">
        <v>65</v>
      </c>
      <c r="G192" s="3">
        <v>170</v>
      </c>
      <c r="H192" s="1" t="s">
        <v>593</v>
      </c>
      <c r="I192">
        <f t="shared" si="13"/>
        <v>1</v>
      </c>
      <c r="J192" t="str">
        <f t="shared" si="14"/>
        <v>Makar Sankranti</v>
      </c>
      <c r="K192" t="str">
        <f t="shared" si="15"/>
        <v>Promoted</v>
      </c>
      <c r="L192" t="str">
        <f t="shared" si="16"/>
        <v>Known Employee</v>
      </c>
      <c r="M192">
        <f t="shared" si="18"/>
        <v>4</v>
      </c>
      <c r="N192" t="str">
        <f t="shared" si="17"/>
        <v>January</v>
      </c>
    </row>
    <row r="193" spans="1:14" x14ac:dyDescent="0.3">
      <c r="A193" s="2" t="s">
        <v>1743</v>
      </c>
      <c r="B193" t="s">
        <v>856</v>
      </c>
      <c r="C193" s="2" t="s">
        <v>35</v>
      </c>
      <c r="D193" s="2" t="s">
        <v>340</v>
      </c>
      <c r="E193" s="2" t="s">
        <v>13</v>
      </c>
      <c r="F193" s="2" t="s">
        <v>14</v>
      </c>
      <c r="G193" s="3">
        <v>260</v>
      </c>
      <c r="H193" s="1" t="s">
        <v>1744</v>
      </c>
      <c r="I193">
        <f t="shared" si="13"/>
        <v>1</v>
      </c>
      <c r="J193" t="str">
        <f t="shared" si="14"/>
        <v>Makar Sankranti</v>
      </c>
      <c r="K193" t="str">
        <f t="shared" si="15"/>
        <v>Promoted</v>
      </c>
      <c r="L193" t="str">
        <f t="shared" si="16"/>
        <v>Known Employee</v>
      </c>
      <c r="M193">
        <f t="shared" si="18"/>
        <v>4</v>
      </c>
      <c r="N193" t="str">
        <f t="shared" si="17"/>
        <v>January</v>
      </c>
    </row>
    <row r="194" spans="1:14" x14ac:dyDescent="0.3">
      <c r="A194" s="2" t="s">
        <v>1844</v>
      </c>
      <c r="B194" t="s">
        <v>681</v>
      </c>
      <c r="C194" s="2" t="s">
        <v>35</v>
      </c>
      <c r="D194" s="2" t="s">
        <v>340</v>
      </c>
      <c r="E194" s="2" t="s">
        <v>13</v>
      </c>
      <c r="F194" s="2" t="s">
        <v>65</v>
      </c>
      <c r="G194" s="3">
        <v>195</v>
      </c>
      <c r="H194" s="1" t="s">
        <v>1845</v>
      </c>
      <c r="I194">
        <f t="shared" ref="I194:I257" si="19">MONTH(H194)</f>
        <v>1</v>
      </c>
      <c r="J194" t="str">
        <f t="shared" ref="J194:J257" si="20">IF(OR(I194=10,I194=11),"Diwali",IF(I194=9,"Navratri",IF(I194=8,"Rakshabandhan",IF(I194=3,"Holi",IF(I194=1,"Makar Sankranti","Regular")))))</f>
        <v>Makar Sankranti</v>
      </c>
      <c r="K194" t="str">
        <f t="shared" ref="K194:K257" si="21" xml:space="preserve"> IF(E194="No Promotion", "Not Promoted", "Promoted")</f>
        <v>Promoted</v>
      </c>
      <c r="L194" t="str">
        <f t="shared" ref="L194:L257" si="22" xml:space="preserve"> IF(D194="Unknown","Employee","Known Employee")</f>
        <v>Known Employee</v>
      </c>
      <c r="M194">
        <f t="shared" si="18"/>
        <v>4</v>
      </c>
      <c r="N194" t="str">
        <f t="shared" si="17"/>
        <v>January</v>
      </c>
    </row>
    <row r="195" spans="1:14" x14ac:dyDescent="0.3">
      <c r="A195" s="2" t="s">
        <v>377</v>
      </c>
      <c r="B195" t="s">
        <v>186</v>
      </c>
      <c r="C195" s="2" t="s">
        <v>53</v>
      </c>
      <c r="D195" s="2" t="s">
        <v>104</v>
      </c>
      <c r="E195" s="2" t="s">
        <v>158</v>
      </c>
      <c r="F195" s="2" t="s">
        <v>65</v>
      </c>
      <c r="G195" s="3">
        <v>288.8</v>
      </c>
      <c r="H195" s="1" t="s">
        <v>378</v>
      </c>
      <c r="I195">
        <f t="shared" si="19"/>
        <v>1</v>
      </c>
      <c r="J195" t="str">
        <f t="shared" si="20"/>
        <v>Makar Sankranti</v>
      </c>
      <c r="K195" t="str">
        <f t="shared" si="21"/>
        <v>Promoted</v>
      </c>
      <c r="L195" t="str">
        <f t="shared" si="22"/>
        <v>Known Employee</v>
      </c>
      <c r="M195">
        <f t="shared" si="18"/>
        <v>7</v>
      </c>
      <c r="N195" t="str">
        <f t="shared" ref="N195:N258" si="23">TEXT(DATE(2000, I195, 1), "mmmm")</f>
        <v>January</v>
      </c>
    </row>
    <row r="196" spans="1:14" x14ac:dyDescent="0.3">
      <c r="A196" s="2" t="s">
        <v>1182</v>
      </c>
      <c r="B196" t="s">
        <v>918</v>
      </c>
      <c r="C196" s="2" t="s">
        <v>53</v>
      </c>
      <c r="D196" s="2" t="s">
        <v>1945</v>
      </c>
      <c r="E196" s="2" t="s">
        <v>13</v>
      </c>
      <c r="F196" s="2" t="s">
        <v>14</v>
      </c>
      <c r="G196" s="3">
        <v>460</v>
      </c>
      <c r="H196" s="1" t="s">
        <v>1183</v>
      </c>
      <c r="I196">
        <f t="shared" si="19"/>
        <v>1</v>
      </c>
      <c r="J196" t="str">
        <f t="shared" si="20"/>
        <v>Makar Sankranti</v>
      </c>
      <c r="K196" t="str">
        <f t="shared" si="21"/>
        <v>Promoted</v>
      </c>
      <c r="L196" t="str">
        <f t="shared" si="22"/>
        <v>Employee</v>
      </c>
      <c r="M196">
        <f t="shared" si="18"/>
        <v>3</v>
      </c>
      <c r="N196" t="str">
        <f t="shared" si="23"/>
        <v>January</v>
      </c>
    </row>
    <row r="197" spans="1:14" x14ac:dyDescent="0.3">
      <c r="A197" s="2" t="s">
        <v>603</v>
      </c>
      <c r="B197" t="s">
        <v>491</v>
      </c>
      <c r="C197" s="2" t="s">
        <v>29</v>
      </c>
      <c r="D197" s="2" t="s">
        <v>49</v>
      </c>
      <c r="E197" s="2" t="s">
        <v>13</v>
      </c>
      <c r="F197" s="2" t="s">
        <v>40</v>
      </c>
      <c r="G197" s="3">
        <v>648</v>
      </c>
      <c r="H197" s="1" t="s">
        <v>604</v>
      </c>
      <c r="I197">
        <f t="shared" si="19"/>
        <v>1</v>
      </c>
      <c r="J197" t="str">
        <f t="shared" si="20"/>
        <v>Makar Sankranti</v>
      </c>
      <c r="K197" t="str">
        <f t="shared" si="21"/>
        <v>Promoted</v>
      </c>
      <c r="L197" t="str">
        <f t="shared" si="22"/>
        <v>Known Employee</v>
      </c>
      <c r="M197">
        <f t="shared" si="18"/>
        <v>5</v>
      </c>
      <c r="N197" t="str">
        <f t="shared" si="23"/>
        <v>January</v>
      </c>
    </row>
    <row r="198" spans="1:14" x14ac:dyDescent="0.3">
      <c r="A198" s="2" t="s">
        <v>921</v>
      </c>
      <c r="B198" t="s">
        <v>186</v>
      </c>
      <c r="C198" s="2" t="s">
        <v>35</v>
      </c>
      <c r="D198" s="2" t="s">
        <v>140</v>
      </c>
      <c r="E198" s="2" t="s">
        <v>13</v>
      </c>
      <c r="F198" s="2" t="s">
        <v>40</v>
      </c>
      <c r="G198" s="3">
        <v>348</v>
      </c>
      <c r="H198" s="1" t="s">
        <v>922</v>
      </c>
      <c r="I198">
        <f t="shared" si="19"/>
        <v>1</v>
      </c>
      <c r="J198" t="str">
        <f t="shared" si="20"/>
        <v>Makar Sankranti</v>
      </c>
      <c r="K198" t="str">
        <f t="shared" si="21"/>
        <v>Promoted</v>
      </c>
      <c r="L198" t="str">
        <f t="shared" si="22"/>
        <v>Known Employee</v>
      </c>
      <c r="M198">
        <f t="shared" si="18"/>
        <v>7</v>
      </c>
      <c r="N198" t="str">
        <f t="shared" si="23"/>
        <v>January</v>
      </c>
    </row>
    <row r="199" spans="1:14" x14ac:dyDescent="0.3">
      <c r="A199" s="2" t="s">
        <v>650</v>
      </c>
      <c r="B199" t="s">
        <v>601</v>
      </c>
      <c r="C199" s="2" t="s">
        <v>53</v>
      </c>
      <c r="D199" s="2" t="s">
        <v>104</v>
      </c>
      <c r="E199" s="2" t="s">
        <v>24</v>
      </c>
      <c r="F199" s="2" t="s">
        <v>65</v>
      </c>
      <c r="G199" s="3">
        <v>360</v>
      </c>
      <c r="H199" s="1" t="s">
        <v>651</v>
      </c>
      <c r="I199">
        <f t="shared" si="19"/>
        <v>2</v>
      </c>
      <c r="J199" t="str">
        <f t="shared" si="20"/>
        <v>Regular</v>
      </c>
      <c r="K199" t="str">
        <f t="shared" si="21"/>
        <v>Promoted</v>
      </c>
      <c r="L199" t="str">
        <f t="shared" si="22"/>
        <v>Known Employee</v>
      </c>
      <c r="M199">
        <f t="shared" si="18"/>
        <v>2</v>
      </c>
      <c r="N199" t="str">
        <f t="shared" si="23"/>
        <v>February</v>
      </c>
    </row>
    <row r="200" spans="1:14" x14ac:dyDescent="0.3">
      <c r="A200" s="2" t="s">
        <v>1038</v>
      </c>
      <c r="B200" t="s">
        <v>1040</v>
      </c>
      <c r="C200" s="2" t="s">
        <v>29</v>
      </c>
      <c r="D200" s="2" t="s">
        <v>30</v>
      </c>
      <c r="E200" s="2" t="s">
        <v>289</v>
      </c>
      <c r="F200" s="2" t="s">
        <v>14</v>
      </c>
      <c r="G200" s="3">
        <v>483.55</v>
      </c>
      <c r="H200" s="1" t="s">
        <v>651</v>
      </c>
      <c r="I200">
        <f t="shared" si="19"/>
        <v>2</v>
      </c>
      <c r="J200" t="str">
        <f t="shared" si="20"/>
        <v>Regular</v>
      </c>
      <c r="K200" t="str">
        <f t="shared" si="21"/>
        <v>Promoted</v>
      </c>
      <c r="L200" t="str">
        <f t="shared" si="22"/>
        <v>Known Employee</v>
      </c>
      <c r="M200">
        <f t="shared" si="18"/>
        <v>4</v>
      </c>
      <c r="N200" t="str">
        <f t="shared" si="23"/>
        <v>February</v>
      </c>
    </row>
    <row r="201" spans="1:14" x14ac:dyDescent="0.3">
      <c r="A201" s="2" t="s">
        <v>1149</v>
      </c>
      <c r="B201" t="s">
        <v>975</v>
      </c>
      <c r="C201" s="2" t="s">
        <v>18</v>
      </c>
      <c r="D201" s="2" t="s">
        <v>295</v>
      </c>
      <c r="E201" s="2" t="s">
        <v>13</v>
      </c>
      <c r="F201" s="2" t="s">
        <v>65</v>
      </c>
      <c r="G201" s="3">
        <v>275</v>
      </c>
      <c r="H201" s="1" t="s">
        <v>1150</v>
      </c>
      <c r="I201">
        <f t="shared" si="19"/>
        <v>2</v>
      </c>
      <c r="J201" t="str">
        <f t="shared" si="20"/>
        <v>Regular</v>
      </c>
      <c r="K201" t="str">
        <f t="shared" si="21"/>
        <v>Promoted</v>
      </c>
      <c r="L201" t="str">
        <f t="shared" si="22"/>
        <v>Known Employee</v>
      </c>
      <c r="M201">
        <f t="shared" si="18"/>
        <v>4</v>
      </c>
      <c r="N201" t="str">
        <f t="shared" si="23"/>
        <v>February</v>
      </c>
    </row>
    <row r="202" spans="1:14" x14ac:dyDescent="0.3">
      <c r="A202" s="2" t="s">
        <v>1022</v>
      </c>
      <c r="B202" t="s">
        <v>881</v>
      </c>
      <c r="C202" s="2" t="s">
        <v>1945</v>
      </c>
      <c r="D202" s="2" t="s">
        <v>118</v>
      </c>
      <c r="E202" s="2" t="s">
        <v>13</v>
      </c>
      <c r="F202" s="2" t="s">
        <v>14</v>
      </c>
      <c r="G202" s="3">
        <v>65</v>
      </c>
      <c r="H202" s="1" t="s">
        <v>712</v>
      </c>
      <c r="I202">
        <f t="shared" si="19"/>
        <v>2</v>
      </c>
      <c r="J202" t="str">
        <f t="shared" si="20"/>
        <v>Regular</v>
      </c>
      <c r="K202" t="str">
        <f t="shared" si="21"/>
        <v>Promoted</v>
      </c>
      <c r="L202" t="str">
        <f t="shared" si="22"/>
        <v>Known Employee</v>
      </c>
      <c r="M202">
        <f t="shared" ref="M202:M265" si="24">COUNTIF($B$1:$B$805, B202)</f>
        <v>6</v>
      </c>
      <c r="N202" t="str">
        <f t="shared" si="23"/>
        <v>February</v>
      </c>
    </row>
    <row r="203" spans="1:14" x14ac:dyDescent="0.3">
      <c r="A203" s="2" t="s">
        <v>830</v>
      </c>
      <c r="B203" t="s">
        <v>75</v>
      </c>
      <c r="C203" s="2" t="s">
        <v>1945</v>
      </c>
      <c r="D203" s="2" t="s">
        <v>76</v>
      </c>
      <c r="E203" s="2" t="s">
        <v>158</v>
      </c>
      <c r="F203" s="2" t="s">
        <v>40</v>
      </c>
      <c r="G203" s="3">
        <v>231.8</v>
      </c>
      <c r="H203" s="1" t="s">
        <v>712</v>
      </c>
      <c r="I203">
        <f t="shared" si="19"/>
        <v>2</v>
      </c>
      <c r="J203" t="str">
        <f t="shared" si="20"/>
        <v>Regular</v>
      </c>
      <c r="K203" t="str">
        <f t="shared" si="21"/>
        <v>Promoted</v>
      </c>
      <c r="L203" t="str">
        <f t="shared" si="22"/>
        <v>Known Employee</v>
      </c>
      <c r="M203">
        <f t="shared" si="24"/>
        <v>7</v>
      </c>
      <c r="N203" t="str">
        <f t="shared" si="23"/>
        <v>February</v>
      </c>
    </row>
    <row r="204" spans="1:14" x14ac:dyDescent="0.3">
      <c r="A204" s="2" t="s">
        <v>711</v>
      </c>
      <c r="B204" t="s">
        <v>713</v>
      </c>
      <c r="C204" s="2" t="s">
        <v>29</v>
      </c>
      <c r="D204" s="2" t="s">
        <v>168</v>
      </c>
      <c r="E204" s="2" t="s">
        <v>13</v>
      </c>
      <c r="F204" s="2" t="s">
        <v>25</v>
      </c>
      <c r="G204" s="3">
        <v>426</v>
      </c>
      <c r="H204" s="1" t="s">
        <v>712</v>
      </c>
      <c r="I204">
        <f t="shared" si="19"/>
        <v>2</v>
      </c>
      <c r="J204" t="str">
        <f t="shared" si="20"/>
        <v>Regular</v>
      </c>
      <c r="K204" t="str">
        <f t="shared" si="21"/>
        <v>Promoted</v>
      </c>
      <c r="L204" t="str">
        <f t="shared" si="22"/>
        <v>Known Employee</v>
      </c>
      <c r="M204">
        <f t="shared" si="24"/>
        <v>3</v>
      </c>
      <c r="N204" t="str">
        <f t="shared" si="23"/>
        <v>February</v>
      </c>
    </row>
    <row r="205" spans="1:14" x14ac:dyDescent="0.3">
      <c r="A205" s="2" t="s">
        <v>1514</v>
      </c>
      <c r="B205" t="s">
        <v>874</v>
      </c>
      <c r="C205" s="2" t="s">
        <v>18</v>
      </c>
      <c r="D205" s="2" t="s">
        <v>87</v>
      </c>
      <c r="E205" s="2" t="s">
        <v>1946</v>
      </c>
      <c r="F205" s="2" t="s">
        <v>14</v>
      </c>
      <c r="G205" s="3">
        <v>120</v>
      </c>
      <c r="H205" s="1" t="s">
        <v>1515</v>
      </c>
      <c r="I205">
        <f t="shared" si="19"/>
        <v>2</v>
      </c>
      <c r="J205" t="str">
        <f t="shared" si="20"/>
        <v>Regular</v>
      </c>
      <c r="K205" t="str">
        <f t="shared" si="21"/>
        <v>Not Promoted</v>
      </c>
      <c r="L205" t="str">
        <f t="shared" si="22"/>
        <v>Known Employee</v>
      </c>
      <c r="M205">
        <f t="shared" si="24"/>
        <v>3</v>
      </c>
      <c r="N205" t="str">
        <f t="shared" si="23"/>
        <v>February</v>
      </c>
    </row>
    <row r="206" spans="1:14" x14ac:dyDescent="0.3">
      <c r="A206" s="2" t="s">
        <v>344</v>
      </c>
      <c r="B206" t="s">
        <v>346</v>
      </c>
      <c r="C206" s="2" t="s">
        <v>18</v>
      </c>
      <c r="D206" s="2" t="s">
        <v>295</v>
      </c>
      <c r="E206" s="2" t="s">
        <v>13</v>
      </c>
      <c r="F206" s="2" t="s">
        <v>40</v>
      </c>
      <c r="G206" s="3">
        <v>130</v>
      </c>
      <c r="H206" s="1" t="s">
        <v>345</v>
      </c>
      <c r="I206">
        <f t="shared" si="19"/>
        <v>2</v>
      </c>
      <c r="J206" t="str">
        <f t="shared" si="20"/>
        <v>Regular</v>
      </c>
      <c r="K206" t="str">
        <f t="shared" si="21"/>
        <v>Promoted</v>
      </c>
      <c r="L206" t="str">
        <f t="shared" si="22"/>
        <v>Known Employee</v>
      </c>
      <c r="M206">
        <f t="shared" si="24"/>
        <v>5</v>
      </c>
      <c r="N206" t="str">
        <f t="shared" si="23"/>
        <v>February</v>
      </c>
    </row>
    <row r="207" spans="1:14" x14ac:dyDescent="0.3">
      <c r="A207" s="2" t="s">
        <v>1178</v>
      </c>
      <c r="B207" t="s">
        <v>851</v>
      </c>
      <c r="C207" s="2" t="s">
        <v>157</v>
      </c>
      <c r="D207" s="2" t="s">
        <v>118</v>
      </c>
      <c r="E207" s="2" t="s">
        <v>158</v>
      </c>
      <c r="F207" s="2" t="s">
        <v>25</v>
      </c>
      <c r="G207" s="3">
        <v>494</v>
      </c>
      <c r="H207" s="1" t="s">
        <v>1179</v>
      </c>
      <c r="I207">
        <f t="shared" si="19"/>
        <v>2</v>
      </c>
      <c r="J207" t="str">
        <f t="shared" si="20"/>
        <v>Regular</v>
      </c>
      <c r="K207" t="str">
        <f t="shared" si="21"/>
        <v>Promoted</v>
      </c>
      <c r="L207" t="str">
        <f t="shared" si="22"/>
        <v>Known Employee</v>
      </c>
      <c r="M207">
        <f t="shared" si="24"/>
        <v>6</v>
      </c>
      <c r="N207" t="str">
        <f t="shared" si="23"/>
        <v>February</v>
      </c>
    </row>
    <row r="208" spans="1:14" x14ac:dyDescent="0.3">
      <c r="A208" s="2" t="s">
        <v>1908</v>
      </c>
      <c r="B208" t="s">
        <v>425</v>
      </c>
      <c r="C208" s="2" t="s">
        <v>35</v>
      </c>
      <c r="D208" s="2" t="s">
        <v>36</v>
      </c>
      <c r="E208" s="2" t="s">
        <v>13</v>
      </c>
      <c r="F208" s="2" t="s">
        <v>14</v>
      </c>
      <c r="G208" s="3">
        <v>120</v>
      </c>
      <c r="H208" s="1" t="s">
        <v>1972</v>
      </c>
      <c r="I208">
        <f t="shared" si="19"/>
        <v>2</v>
      </c>
      <c r="J208" t="str">
        <f t="shared" si="20"/>
        <v>Regular</v>
      </c>
      <c r="K208" t="str">
        <f t="shared" si="21"/>
        <v>Promoted</v>
      </c>
      <c r="L208" t="str">
        <f t="shared" si="22"/>
        <v>Known Employee</v>
      </c>
      <c r="M208">
        <f t="shared" si="24"/>
        <v>7</v>
      </c>
      <c r="N208" t="str">
        <f t="shared" si="23"/>
        <v>February</v>
      </c>
    </row>
    <row r="209" spans="1:14" x14ac:dyDescent="0.3">
      <c r="A209" s="2" t="s">
        <v>1715</v>
      </c>
      <c r="B209" t="s">
        <v>376</v>
      </c>
      <c r="C209" s="2" t="s">
        <v>53</v>
      </c>
      <c r="D209" s="2" t="s">
        <v>118</v>
      </c>
      <c r="E209" s="2" t="s">
        <v>64</v>
      </c>
      <c r="F209" s="2" t="s">
        <v>40</v>
      </c>
      <c r="G209" s="3">
        <v>435</v>
      </c>
      <c r="H209" s="1" t="s">
        <v>1716</v>
      </c>
      <c r="I209">
        <f t="shared" si="19"/>
        <v>2</v>
      </c>
      <c r="J209" t="str">
        <f t="shared" si="20"/>
        <v>Regular</v>
      </c>
      <c r="K209" t="str">
        <f t="shared" si="21"/>
        <v>Promoted</v>
      </c>
      <c r="L209" t="str">
        <f t="shared" si="22"/>
        <v>Known Employee</v>
      </c>
      <c r="M209">
        <f t="shared" si="24"/>
        <v>3</v>
      </c>
      <c r="N209" t="str">
        <f t="shared" si="23"/>
        <v>February</v>
      </c>
    </row>
    <row r="210" spans="1:14" x14ac:dyDescent="0.3">
      <c r="A210" s="2" t="s">
        <v>1420</v>
      </c>
      <c r="B210" t="s">
        <v>213</v>
      </c>
      <c r="C210" s="2" t="s">
        <v>35</v>
      </c>
      <c r="D210" s="2" t="s">
        <v>44</v>
      </c>
      <c r="E210" s="2" t="s">
        <v>158</v>
      </c>
      <c r="F210" s="2" t="s">
        <v>14</v>
      </c>
      <c r="G210" s="3">
        <v>180.5</v>
      </c>
      <c r="H210" s="1" t="s">
        <v>1421</v>
      </c>
      <c r="I210">
        <f t="shared" si="19"/>
        <v>2</v>
      </c>
      <c r="J210" t="str">
        <f t="shared" si="20"/>
        <v>Regular</v>
      </c>
      <c r="K210" t="str">
        <f t="shared" si="21"/>
        <v>Promoted</v>
      </c>
      <c r="L210" t="str">
        <f t="shared" si="22"/>
        <v>Known Employee</v>
      </c>
      <c r="M210">
        <f t="shared" si="24"/>
        <v>7</v>
      </c>
      <c r="N210" t="str">
        <f t="shared" si="23"/>
        <v>February</v>
      </c>
    </row>
    <row r="211" spans="1:14" x14ac:dyDescent="0.3">
      <c r="A211" s="2" t="s">
        <v>746</v>
      </c>
      <c r="B211" t="s">
        <v>748</v>
      </c>
      <c r="C211" s="2" t="s">
        <v>35</v>
      </c>
      <c r="D211" s="2" t="s">
        <v>340</v>
      </c>
      <c r="E211" s="2" t="s">
        <v>13</v>
      </c>
      <c r="F211" s="2" t="s">
        <v>25</v>
      </c>
      <c r="G211" s="3">
        <v>120</v>
      </c>
      <c r="H211" s="1" t="s">
        <v>747</v>
      </c>
      <c r="I211">
        <f t="shared" si="19"/>
        <v>2</v>
      </c>
      <c r="J211" t="str">
        <f t="shared" si="20"/>
        <v>Regular</v>
      </c>
      <c r="K211" t="str">
        <f t="shared" si="21"/>
        <v>Promoted</v>
      </c>
      <c r="L211" t="str">
        <f t="shared" si="22"/>
        <v>Known Employee</v>
      </c>
      <c r="M211">
        <f t="shared" si="24"/>
        <v>2</v>
      </c>
      <c r="N211" t="str">
        <f t="shared" si="23"/>
        <v>February</v>
      </c>
    </row>
    <row r="212" spans="1:14" x14ac:dyDescent="0.3">
      <c r="A212" s="2" t="s">
        <v>1808</v>
      </c>
      <c r="B212" t="s">
        <v>1809</v>
      </c>
      <c r="C212" s="2" t="s">
        <v>29</v>
      </c>
      <c r="D212" s="2" t="s">
        <v>123</v>
      </c>
      <c r="E212" s="2" t="s">
        <v>13</v>
      </c>
      <c r="F212" s="2" t="s">
        <v>40</v>
      </c>
      <c r="G212" s="3">
        <v>280</v>
      </c>
      <c r="H212" s="1" t="s">
        <v>1341</v>
      </c>
      <c r="I212">
        <f t="shared" si="19"/>
        <v>2</v>
      </c>
      <c r="J212" t="str">
        <f t="shared" si="20"/>
        <v>Regular</v>
      </c>
      <c r="K212" t="str">
        <f t="shared" si="21"/>
        <v>Promoted</v>
      </c>
      <c r="L212" t="str">
        <f t="shared" si="22"/>
        <v>Known Employee</v>
      </c>
      <c r="M212">
        <f t="shared" si="24"/>
        <v>1</v>
      </c>
      <c r="N212" t="str">
        <f t="shared" si="23"/>
        <v>February</v>
      </c>
    </row>
    <row r="213" spans="1:14" x14ac:dyDescent="0.3">
      <c r="A213" s="2" t="s">
        <v>1340</v>
      </c>
      <c r="B213" t="s">
        <v>760</v>
      </c>
      <c r="C213" s="2" t="s">
        <v>18</v>
      </c>
      <c r="D213" s="2" t="s">
        <v>19</v>
      </c>
      <c r="E213" s="2" t="s">
        <v>13</v>
      </c>
      <c r="F213" s="2" t="s">
        <v>40</v>
      </c>
      <c r="G213" s="3">
        <v>260</v>
      </c>
      <c r="H213" s="1" t="s">
        <v>1341</v>
      </c>
      <c r="I213">
        <f t="shared" si="19"/>
        <v>2</v>
      </c>
      <c r="J213" t="str">
        <f t="shared" si="20"/>
        <v>Regular</v>
      </c>
      <c r="K213" t="str">
        <f t="shared" si="21"/>
        <v>Promoted</v>
      </c>
      <c r="L213" t="str">
        <f t="shared" si="22"/>
        <v>Known Employee</v>
      </c>
      <c r="M213">
        <f t="shared" si="24"/>
        <v>4</v>
      </c>
      <c r="N213" t="str">
        <f t="shared" si="23"/>
        <v>February</v>
      </c>
    </row>
    <row r="214" spans="1:14" x14ac:dyDescent="0.3">
      <c r="A214" s="2" t="s">
        <v>1092</v>
      </c>
      <c r="B214" t="s">
        <v>196</v>
      </c>
      <c r="C214" s="2" t="s">
        <v>479</v>
      </c>
      <c r="D214" s="2" t="s">
        <v>123</v>
      </c>
      <c r="E214" s="2" t="s">
        <v>13</v>
      </c>
      <c r="F214" s="2" t="s">
        <v>40</v>
      </c>
      <c r="G214" s="3">
        <v>460</v>
      </c>
      <c r="H214" s="1" t="s">
        <v>1093</v>
      </c>
      <c r="I214">
        <f t="shared" si="19"/>
        <v>2</v>
      </c>
      <c r="J214" t="str">
        <f t="shared" si="20"/>
        <v>Regular</v>
      </c>
      <c r="K214" t="str">
        <f t="shared" si="21"/>
        <v>Promoted</v>
      </c>
      <c r="L214" t="str">
        <f t="shared" si="22"/>
        <v>Known Employee</v>
      </c>
      <c r="M214">
        <f t="shared" si="24"/>
        <v>8</v>
      </c>
      <c r="N214" t="str">
        <f t="shared" si="23"/>
        <v>February</v>
      </c>
    </row>
    <row r="215" spans="1:14" x14ac:dyDescent="0.3">
      <c r="A215" s="2" t="s">
        <v>1228</v>
      </c>
      <c r="B215" t="s">
        <v>610</v>
      </c>
      <c r="C215" s="2" t="s">
        <v>29</v>
      </c>
      <c r="D215" s="2" t="s">
        <v>49</v>
      </c>
      <c r="E215" s="2" t="s">
        <v>13</v>
      </c>
      <c r="F215" s="2" t="s">
        <v>40</v>
      </c>
      <c r="G215" s="3">
        <v>456</v>
      </c>
      <c r="H215" s="1" t="s">
        <v>1229</v>
      </c>
      <c r="I215">
        <f t="shared" si="19"/>
        <v>2</v>
      </c>
      <c r="J215" t="str">
        <f t="shared" si="20"/>
        <v>Regular</v>
      </c>
      <c r="K215" t="str">
        <f t="shared" si="21"/>
        <v>Promoted</v>
      </c>
      <c r="L215" t="str">
        <f t="shared" si="22"/>
        <v>Known Employee</v>
      </c>
      <c r="M215">
        <f t="shared" si="24"/>
        <v>7</v>
      </c>
      <c r="N215" t="str">
        <f t="shared" si="23"/>
        <v>February</v>
      </c>
    </row>
    <row r="216" spans="1:14" x14ac:dyDescent="0.3">
      <c r="A216" s="2" t="s">
        <v>937</v>
      </c>
      <c r="B216" t="s">
        <v>43</v>
      </c>
      <c r="C216" s="2" t="s">
        <v>29</v>
      </c>
      <c r="D216" s="2" t="s">
        <v>30</v>
      </c>
      <c r="E216" s="2" t="s">
        <v>54</v>
      </c>
      <c r="F216" s="2" t="s">
        <v>65</v>
      </c>
      <c r="G216" s="3">
        <v>416.5</v>
      </c>
      <c r="H216" s="1" t="s">
        <v>939</v>
      </c>
      <c r="I216">
        <f t="shared" si="19"/>
        <v>2</v>
      </c>
      <c r="J216" t="str">
        <f t="shared" si="20"/>
        <v>Regular</v>
      </c>
      <c r="K216" t="str">
        <f t="shared" si="21"/>
        <v>Promoted</v>
      </c>
      <c r="L216" t="str">
        <f t="shared" si="22"/>
        <v>Known Employee</v>
      </c>
      <c r="M216">
        <f t="shared" si="24"/>
        <v>3</v>
      </c>
      <c r="N216" t="str">
        <f t="shared" si="23"/>
        <v>February</v>
      </c>
    </row>
    <row r="217" spans="1:14" x14ac:dyDescent="0.3">
      <c r="A217" s="2" t="s">
        <v>1303</v>
      </c>
      <c r="B217" t="s">
        <v>360</v>
      </c>
      <c r="C217" s="2" t="s">
        <v>18</v>
      </c>
      <c r="D217" s="2" t="s">
        <v>19</v>
      </c>
      <c r="E217" s="2" t="s">
        <v>1946</v>
      </c>
      <c r="F217" s="2" t="s">
        <v>268</v>
      </c>
      <c r="G217" s="3">
        <v>625</v>
      </c>
      <c r="H217" s="1" t="s">
        <v>1304</v>
      </c>
      <c r="I217">
        <f t="shared" si="19"/>
        <v>2</v>
      </c>
      <c r="J217" t="str">
        <f t="shared" si="20"/>
        <v>Regular</v>
      </c>
      <c r="K217" t="str">
        <f t="shared" si="21"/>
        <v>Not Promoted</v>
      </c>
      <c r="L217" t="str">
        <f t="shared" si="22"/>
        <v>Known Employee</v>
      </c>
      <c r="M217">
        <f t="shared" si="24"/>
        <v>5</v>
      </c>
      <c r="N217" t="str">
        <f t="shared" si="23"/>
        <v>February</v>
      </c>
    </row>
    <row r="218" spans="1:14" x14ac:dyDescent="0.3">
      <c r="A218" s="2" t="s">
        <v>1688</v>
      </c>
      <c r="B218" t="s">
        <v>1316</v>
      </c>
      <c r="C218" s="2" t="s">
        <v>479</v>
      </c>
      <c r="D218" s="2" t="s">
        <v>200</v>
      </c>
      <c r="E218" s="2" t="s">
        <v>13</v>
      </c>
      <c r="F218" s="2" t="s">
        <v>14</v>
      </c>
      <c r="G218" s="3">
        <v>130</v>
      </c>
      <c r="H218" s="1" t="s">
        <v>1304</v>
      </c>
      <c r="I218">
        <f t="shared" si="19"/>
        <v>2</v>
      </c>
      <c r="J218" t="str">
        <f t="shared" si="20"/>
        <v>Regular</v>
      </c>
      <c r="K218" t="str">
        <f t="shared" si="21"/>
        <v>Promoted</v>
      </c>
      <c r="L218" t="str">
        <f t="shared" si="22"/>
        <v>Known Employee</v>
      </c>
      <c r="M218">
        <f t="shared" si="24"/>
        <v>3</v>
      </c>
      <c r="N218" t="str">
        <f t="shared" si="23"/>
        <v>February</v>
      </c>
    </row>
    <row r="219" spans="1:14" x14ac:dyDescent="0.3">
      <c r="A219" s="2" t="s">
        <v>148</v>
      </c>
      <c r="B219" t="s">
        <v>71</v>
      </c>
      <c r="C219" s="2" t="s">
        <v>53</v>
      </c>
      <c r="D219" s="2" t="s">
        <v>76</v>
      </c>
      <c r="E219" s="2" t="s">
        <v>13</v>
      </c>
      <c r="F219" s="2" t="s">
        <v>144</v>
      </c>
      <c r="G219" s="3">
        <v>136</v>
      </c>
      <c r="H219" s="1" t="s">
        <v>149</v>
      </c>
      <c r="I219">
        <f t="shared" si="19"/>
        <v>3</v>
      </c>
      <c r="J219" t="str">
        <f t="shared" si="20"/>
        <v>Holi</v>
      </c>
      <c r="K219" t="str">
        <f t="shared" si="21"/>
        <v>Promoted</v>
      </c>
      <c r="L219" t="str">
        <f t="shared" si="22"/>
        <v>Known Employee</v>
      </c>
      <c r="M219">
        <f t="shared" si="24"/>
        <v>4</v>
      </c>
      <c r="N219" t="str">
        <f t="shared" si="23"/>
        <v>March</v>
      </c>
    </row>
    <row r="220" spans="1:14" x14ac:dyDescent="0.3">
      <c r="A220" s="2" t="s">
        <v>1381</v>
      </c>
      <c r="B220" t="s">
        <v>233</v>
      </c>
      <c r="C220" s="2" t="s">
        <v>18</v>
      </c>
      <c r="D220" s="2" t="s">
        <v>19</v>
      </c>
      <c r="E220" s="2" t="s">
        <v>13</v>
      </c>
      <c r="F220" s="2" t="s">
        <v>65</v>
      </c>
      <c r="G220" s="3">
        <v>204</v>
      </c>
      <c r="H220" s="1" t="s">
        <v>1382</v>
      </c>
      <c r="I220">
        <f t="shared" si="19"/>
        <v>3</v>
      </c>
      <c r="J220" t="str">
        <f t="shared" si="20"/>
        <v>Holi</v>
      </c>
      <c r="K220" t="str">
        <f t="shared" si="21"/>
        <v>Promoted</v>
      </c>
      <c r="L220" t="str">
        <f t="shared" si="22"/>
        <v>Known Employee</v>
      </c>
      <c r="M220">
        <f t="shared" si="24"/>
        <v>6</v>
      </c>
      <c r="N220" t="str">
        <f t="shared" si="23"/>
        <v>March</v>
      </c>
    </row>
    <row r="221" spans="1:14" x14ac:dyDescent="0.3">
      <c r="A221" s="2" t="s">
        <v>1780</v>
      </c>
      <c r="B221" t="s">
        <v>543</v>
      </c>
      <c r="C221" s="2" t="s">
        <v>29</v>
      </c>
      <c r="D221" s="2" t="s">
        <v>200</v>
      </c>
      <c r="E221" s="2" t="s">
        <v>24</v>
      </c>
      <c r="F221" s="2" t="s">
        <v>25</v>
      </c>
      <c r="G221" s="3">
        <v>411.3</v>
      </c>
      <c r="H221" s="1" t="s">
        <v>1781</v>
      </c>
      <c r="I221">
        <f t="shared" si="19"/>
        <v>3</v>
      </c>
      <c r="J221" t="str">
        <f t="shared" si="20"/>
        <v>Holi</v>
      </c>
      <c r="K221" t="str">
        <f t="shared" si="21"/>
        <v>Promoted</v>
      </c>
      <c r="L221" t="str">
        <f t="shared" si="22"/>
        <v>Known Employee</v>
      </c>
      <c r="M221">
        <f t="shared" si="24"/>
        <v>5</v>
      </c>
      <c r="N221" t="str">
        <f t="shared" si="23"/>
        <v>March</v>
      </c>
    </row>
    <row r="222" spans="1:14" x14ac:dyDescent="0.3">
      <c r="A222" s="2" t="s">
        <v>1860</v>
      </c>
      <c r="B222" t="s">
        <v>267</v>
      </c>
      <c r="C222" s="2" t="s">
        <v>35</v>
      </c>
      <c r="D222" s="2" t="s">
        <v>1945</v>
      </c>
      <c r="E222" s="2" t="s">
        <v>13</v>
      </c>
      <c r="F222" s="2" t="s">
        <v>25</v>
      </c>
      <c r="G222" s="3">
        <v>80</v>
      </c>
      <c r="H222" s="1" t="s">
        <v>1838</v>
      </c>
      <c r="I222">
        <f t="shared" si="19"/>
        <v>3</v>
      </c>
      <c r="J222" t="str">
        <f t="shared" si="20"/>
        <v>Holi</v>
      </c>
      <c r="K222" t="str">
        <f t="shared" si="21"/>
        <v>Promoted</v>
      </c>
      <c r="L222" t="str">
        <f t="shared" si="22"/>
        <v>Employee</v>
      </c>
      <c r="M222">
        <f t="shared" si="24"/>
        <v>8</v>
      </c>
      <c r="N222" t="str">
        <f t="shared" si="23"/>
        <v>March</v>
      </c>
    </row>
    <row r="223" spans="1:14" x14ac:dyDescent="0.3">
      <c r="A223" s="2" t="s">
        <v>1837</v>
      </c>
      <c r="B223" t="s">
        <v>363</v>
      </c>
      <c r="C223" s="2" t="s">
        <v>29</v>
      </c>
      <c r="D223" s="2" t="s">
        <v>1103</v>
      </c>
      <c r="E223" s="2" t="s">
        <v>13</v>
      </c>
      <c r="F223" s="2" t="s">
        <v>65</v>
      </c>
      <c r="G223" s="3">
        <v>120</v>
      </c>
      <c r="H223" s="1" t="s">
        <v>1838</v>
      </c>
      <c r="I223">
        <f t="shared" si="19"/>
        <v>3</v>
      </c>
      <c r="J223" t="str">
        <f t="shared" si="20"/>
        <v>Holi</v>
      </c>
      <c r="K223" t="str">
        <f t="shared" si="21"/>
        <v>Promoted</v>
      </c>
      <c r="L223" t="str">
        <f t="shared" si="22"/>
        <v>Known Employee</v>
      </c>
      <c r="M223">
        <f t="shared" si="24"/>
        <v>4</v>
      </c>
      <c r="N223" t="str">
        <f t="shared" si="23"/>
        <v>March</v>
      </c>
    </row>
    <row r="224" spans="1:14" x14ac:dyDescent="0.3">
      <c r="A224" s="2" t="s">
        <v>561</v>
      </c>
      <c r="B224" t="s">
        <v>563</v>
      </c>
      <c r="C224" s="2" t="s">
        <v>18</v>
      </c>
      <c r="D224" s="2" t="s">
        <v>295</v>
      </c>
      <c r="E224" s="2" t="s">
        <v>13</v>
      </c>
      <c r="F224" s="2" t="s">
        <v>40</v>
      </c>
      <c r="G224" s="3">
        <v>513</v>
      </c>
      <c r="H224" s="1" t="s">
        <v>562</v>
      </c>
      <c r="I224">
        <f t="shared" si="19"/>
        <v>3</v>
      </c>
      <c r="J224" t="str">
        <f t="shared" si="20"/>
        <v>Holi</v>
      </c>
      <c r="K224" t="str">
        <f t="shared" si="21"/>
        <v>Promoted</v>
      </c>
      <c r="L224" t="str">
        <f t="shared" si="22"/>
        <v>Known Employee</v>
      </c>
      <c r="M224">
        <f t="shared" si="24"/>
        <v>1</v>
      </c>
      <c r="N224" t="str">
        <f t="shared" si="23"/>
        <v>March</v>
      </c>
    </row>
    <row r="225" spans="1:14" x14ac:dyDescent="0.3">
      <c r="A225" s="2" t="s">
        <v>1029</v>
      </c>
      <c r="B225" t="s">
        <v>134</v>
      </c>
      <c r="C225" s="2" t="s">
        <v>35</v>
      </c>
      <c r="D225" s="2" t="s">
        <v>340</v>
      </c>
      <c r="E225" s="2" t="s">
        <v>13</v>
      </c>
      <c r="F225" s="2" t="s">
        <v>65</v>
      </c>
      <c r="G225" s="3">
        <v>481</v>
      </c>
      <c r="H225" s="1" t="s">
        <v>1030</v>
      </c>
      <c r="I225">
        <f t="shared" si="19"/>
        <v>3</v>
      </c>
      <c r="J225" t="str">
        <f t="shared" si="20"/>
        <v>Holi</v>
      </c>
      <c r="K225" t="str">
        <f t="shared" si="21"/>
        <v>Promoted</v>
      </c>
      <c r="L225" t="str">
        <f t="shared" si="22"/>
        <v>Known Employee</v>
      </c>
      <c r="M225">
        <f t="shared" si="24"/>
        <v>5</v>
      </c>
      <c r="N225" t="str">
        <f t="shared" si="23"/>
        <v>March</v>
      </c>
    </row>
    <row r="226" spans="1:14" x14ac:dyDescent="0.3">
      <c r="A226" s="2" t="s">
        <v>1853</v>
      </c>
      <c r="B226" t="s">
        <v>881</v>
      </c>
      <c r="C226" s="2" t="s">
        <v>53</v>
      </c>
      <c r="D226" s="2" t="s">
        <v>138</v>
      </c>
      <c r="E226" s="2" t="s">
        <v>64</v>
      </c>
      <c r="F226" s="2" t="s">
        <v>65</v>
      </c>
      <c r="G226" s="3">
        <v>664</v>
      </c>
      <c r="H226" s="1" t="s">
        <v>1854</v>
      </c>
      <c r="I226">
        <f t="shared" si="19"/>
        <v>3</v>
      </c>
      <c r="J226" t="str">
        <f t="shared" si="20"/>
        <v>Holi</v>
      </c>
      <c r="K226" t="str">
        <f t="shared" si="21"/>
        <v>Promoted</v>
      </c>
      <c r="L226" t="str">
        <f t="shared" si="22"/>
        <v>Known Employee</v>
      </c>
      <c r="M226">
        <f t="shared" si="24"/>
        <v>6</v>
      </c>
      <c r="N226" t="str">
        <f t="shared" si="23"/>
        <v>March</v>
      </c>
    </row>
    <row r="227" spans="1:14" x14ac:dyDescent="0.3">
      <c r="A227" s="2" t="s">
        <v>1059</v>
      </c>
      <c r="B227" t="s">
        <v>230</v>
      </c>
      <c r="C227" s="2" t="s">
        <v>29</v>
      </c>
      <c r="D227" s="2" t="s">
        <v>123</v>
      </c>
      <c r="E227" s="2" t="s">
        <v>13</v>
      </c>
      <c r="F227" s="2" t="s">
        <v>1945</v>
      </c>
      <c r="G227" s="3">
        <v>395</v>
      </c>
      <c r="H227" s="1" t="s">
        <v>453</v>
      </c>
      <c r="I227">
        <f t="shared" si="19"/>
        <v>3</v>
      </c>
      <c r="J227" t="str">
        <f t="shared" si="20"/>
        <v>Holi</v>
      </c>
      <c r="K227" t="str">
        <f t="shared" si="21"/>
        <v>Promoted</v>
      </c>
      <c r="L227" t="str">
        <f t="shared" si="22"/>
        <v>Known Employee</v>
      </c>
      <c r="M227">
        <f t="shared" si="24"/>
        <v>6</v>
      </c>
      <c r="N227" t="str">
        <f t="shared" si="23"/>
        <v>March</v>
      </c>
    </row>
    <row r="228" spans="1:14" x14ac:dyDescent="0.3">
      <c r="A228" s="2" t="s">
        <v>452</v>
      </c>
      <c r="B228" t="s">
        <v>454</v>
      </c>
      <c r="C228" s="2" t="s">
        <v>35</v>
      </c>
      <c r="D228" s="2" t="s">
        <v>36</v>
      </c>
      <c r="E228" s="2" t="s">
        <v>13</v>
      </c>
      <c r="F228" s="2" t="s">
        <v>40</v>
      </c>
      <c r="G228" s="3">
        <v>235</v>
      </c>
      <c r="H228" s="1" t="s">
        <v>453</v>
      </c>
      <c r="I228">
        <f t="shared" si="19"/>
        <v>3</v>
      </c>
      <c r="J228" t="str">
        <f t="shared" si="20"/>
        <v>Holi</v>
      </c>
      <c r="K228" t="str">
        <f t="shared" si="21"/>
        <v>Promoted</v>
      </c>
      <c r="L228" t="str">
        <f t="shared" si="22"/>
        <v>Known Employee</v>
      </c>
      <c r="M228">
        <f t="shared" si="24"/>
        <v>4</v>
      </c>
      <c r="N228" t="str">
        <f t="shared" si="23"/>
        <v>March</v>
      </c>
    </row>
    <row r="229" spans="1:14" x14ac:dyDescent="0.3">
      <c r="A229" s="2" t="s">
        <v>1638</v>
      </c>
      <c r="B229" t="s">
        <v>743</v>
      </c>
      <c r="C229" s="2" t="s">
        <v>53</v>
      </c>
      <c r="D229" s="2" t="s">
        <v>104</v>
      </c>
      <c r="E229" s="2" t="s">
        <v>13</v>
      </c>
      <c r="F229" s="2" t="s">
        <v>65</v>
      </c>
      <c r="G229" s="3">
        <v>50</v>
      </c>
      <c r="H229" s="1" t="s">
        <v>453</v>
      </c>
      <c r="I229">
        <f t="shared" si="19"/>
        <v>3</v>
      </c>
      <c r="J229" t="str">
        <f t="shared" si="20"/>
        <v>Holi</v>
      </c>
      <c r="K229" t="str">
        <f t="shared" si="21"/>
        <v>Promoted</v>
      </c>
      <c r="L229" t="str">
        <f t="shared" si="22"/>
        <v>Known Employee</v>
      </c>
      <c r="M229">
        <f t="shared" si="24"/>
        <v>4</v>
      </c>
      <c r="N229" t="str">
        <f t="shared" si="23"/>
        <v>March</v>
      </c>
    </row>
    <row r="230" spans="1:14" x14ac:dyDescent="0.3">
      <c r="A230" s="2" t="s">
        <v>1334</v>
      </c>
      <c r="B230" t="s">
        <v>161</v>
      </c>
      <c r="C230" s="2" t="s">
        <v>35</v>
      </c>
      <c r="D230" s="2" t="s">
        <v>36</v>
      </c>
      <c r="E230" s="2" t="s">
        <v>158</v>
      </c>
      <c r="F230" s="2" t="s">
        <v>14</v>
      </c>
      <c r="G230" s="3">
        <v>302.10000000000002</v>
      </c>
      <c r="H230" s="1" t="s">
        <v>453</v>
      </c>
      <c r="I230">
        <f t="shared" si="19"/>
        <v>3</v>
      </c>
      <c r="J230" t="str">
        <f t="shared" si="20"/>
        <v>Holi</v>
      </c>
      <c r="K230" t="str">
        <f t="shared" si="21"/>
        <v>Promoted</v>
      </c>
      <c r="L230" t="str">
        <f t="shared" si="22"/>
        <v>Known Employee</v>
      </c>
      <c r="M230">
        <f t="shared" si="24"/>
        <v>4</v>
      </c>
      <c r="N230" t="str">
        <f t="shared" si="23"/>
        <v>March</v>
      </c>
    </row>
    <row r="231" spans="1:14" x14ac:dyDescent="0.3">
      <c r="A231" s="2" t="s">
        <v>1848</v>
      </c>
      <c r="B231" t="s">
        <v>371</v>
      </c>
      <c r="C231" s="2" t="s">
        <v>18</v>
      </c>
      <c r="D231" s="2" t="s">
        <v>87</v>
      </c>
      <c r="E231" s="2" t="s">
        <v>13</v>
      </c>
      <c r="F231" s="2" t="s">
        <v>65</v>
      </c>
      <c r="G231" s="3">
        <v>750</v>
      </c>
      <c r="H231" s="1" t="s">
        <v>1849</v>
      </c>
      <c r="I231">
        <f t="shared" si="19"/>
        <v>3</v>
      </c>
      <c r="J231" t="str">
        <f t="shared" si="20"/>
        <v>Holi</v>
      </c>
      <c r="K231" t="str">
        <f t="shared" si="21"/>
        <v>Promoted</v>
      </c>
      <c r="L231" t="str">
        <f t="shared" si="22"/>
        <v>Known Employee</v>
      </c>
      <c r="M231">
        <f t="shared" si="24"/>
        <v>5</v>
      </c>
      <c r="N231" t="str">
        <f t="shared" si="23"/>
        <v>March</v>
      </c>
    </row>
    <row r="232" spans="1:14" x14ac:dyDescent="0.3">
      <c r="A232" s="2" t="s">
        <v>1892</v>
      </c>
      <c r="B232" t="s">
        <v>658</v>
      </c>
      <c r="C232" s="2" t="s">
        <v>29</v>
      </c>
      <c r="D232" s="2" t="s">
        <v>49</v>
      </c>
      <c r="E232" s="2" t="s">
        <v>13</v>
      </c>
      <c r="F232" s="2" t="s">
        <v>25</v>
      </c>
      <c r="G232" s="3">
        <v>230</v>
      </c>
      <c r="H232" s="1" t="s">
        <v>1893</v>
      </c>
      <c r="I232">
        <f t="shared" si="19"/>
        <v>3</v>
      </c>
      <c r="J232" t="str">
        <f t="shared" si="20"/>
        <v>Holi</v>
      </c>
      <c r="K232" t="str">
        <f t="shared" si="21"/>
        <v>Promoted</v>
      </c>
      <c r="L232" t="str">
        <f t="shared" si="22"/>
        <v>Known Employee</v>
      </c>
      <c r="M232">
        <f t="shared" si="24"/>
        <v>1</v>
      </c>
      <c r="N232" t="str">
        <f t="shared" si="23"/>
        <v>March</v>
      </c>
    </row>
    <row r="233" spans="1:14" x14ac:dyDescent="0.3">
      <c r="A233" s="2" t="s">
        <v>1731</v>
      </c>
      <c r="B233" t="s">
        <v>506</v>
      </c>
      <c r="C233" s="2" t="s">
        <v>29</v>
      </c>
      <c r="D233" s="2" t="s">
        <v>30</v>
      </c>
      <c r="E233" s="2" t="s">
        <v>1721</v>
      </c>
      <c r="F233" s="2" t="s">
        <v>65</v>
      </c>
      <c r="G233" s="3">
        <v>487.9</v>
      </c>
      <c r="H233" s="1" t="s">
        <v>1732</v>
      </c>
      <c r="I233">
        <f t="shared" si="19"/>
        <v>3</v>
      </c>
      <c r="J233" t="str">
        <f t="shared" si="20"/>
        <v>Holi</v>
      </c>
      <c r="K233" t="str">
        <f t="shared" si="21"/>
        <v>Promoted</v>
      </c>
      <c r="L233" t="str">
        <f t="shared" si="22"/>
        <v>Known Employee</v>
      </c>
      <c r="M233">
        <f t="shared" si="24"/>
        <v>4</v>
      </c>
      <c r="N233" t="str">
        <f t="shared" si="23"/>
        <v>March</v>
      </c>
    </row>
    <row r="234" spans="1:14" x14ac:dyDescent="0.3">
      <c r="A234" s="2" t="s">
        <v>1592</v>
      </c>
      <c r="B234" t="s">
        <v>888</v>
      </c>
      <c r="C234" s="2" t="s">
        <v>35</v>
      </c>
      <c r="D234" s="2" t="s">
        <v>44</v>
      </c>
      <c r="E234" s="2" t="s">
        <v>13</v>
      </c>
      <c r="F234" s="2" t="s">
        <v>40</v>
      </c>
      <c r="G234" s="3">
        <v>268</v>
      </c>
      <c r="H234" s="1" t="s">
        <v>1593</v>
      </c>
      <c r="I234">
        <f t="shared" si="19"/>
        <v>3</v>
      </c>
      <c r="J234" t="str">
        <f t="shared" si="20"/>
        <v>Holi</v>
      </c>
      <c r="K234" t="str">
        <f t="shared" si="21"/>
        <v>Promoted</v>
      </c>
      <c r="L234" t="str">
        <f t="shared" si="22"/>
        <v>Known Employee</v>
      </c>
      <c r="M234">
        <f t="shared" si="24"/>
        <v>2</v>
      </c>
      <c r="N234" t="str">
        <f t="shared" si="23"/>
        <v>March</v>
      </c>
    </row>
    <row r="235" spans="1:14" x14ac:dyDescent="0.3">
      <c r="A235" s="2" t="s">
        <v>1292</v>
      </c>
      <c r="B235" t="s">
        <v>396</v>
      </c>
      <c r="C235" s="2" t="s">
        <v>53</v>
      </c>
      <c r="D235" s="2" t="s">
        <v>83</v>
      </c>
      <c r="E235" s="2" t="s">
        <v>54</v>
      </c>
      <c r="F235" s="2" t="s">
        <v>14</v>
      </c>
      <c r="G235" s="3">
        <v>232.9</v>
      </c>
      <c r="H235" s="1" t="s">
        <v>1293</v>
      </c>
      <c r="I235">
        <f t="shared" si="19"/>
        <v>3</v>
      </c>
      <c r="J235" t="str">
        <f t="shared" si="20"/>
        <v>Holi</v>
      </c>
      <c r="K235" t="str">
        <f t="shared" si="21"/>
        <v>Promoted</v>
      </c>
      <c r="L235" t="str">
        <f t="shared" si="22"/>
        <v>Known Employee</v>
      </c>
      <c r="M235">
        <f t="shared" si="24"/>
        <v>6</v>
      </c>
      <c r="N235" t="str">
        <f t="shared" si="23"/>
        <v>March</v>
      </c>
    </row>
    <row r="236" spans="1:14" x14ac:dyDescent="0.3">
      <c r="A236" s="2" t="s">
        <v>1801</v>
      </c>
      <c r="B236" t="s">
        <v>634</v>
      </c>
      <c r="C236" s="2" t="s">
        <v>35</v>
      </c>
      <c r="D236" s="2" t="s">
        <v>44</v>
      </c>
      <c r="E236" s="2" t="s">
        <v>13</v>
      </c>
      <c r="F236" s="2" t="s">
        <v>65</v>
      </c>
      <c r="G236" s="3">
        <v>426</v>
      </c>
      <c r="H236" s="1" t="s">
        <v>1802</v>
      </c>
      <c r="I236">
        <f t="shared" si="19"/>
        <v>3</v>
      </c>
      <c r="J236" t="str">
        <f t="shared" si="20"/>
        <v>Holi</v>
      </c>
      <c r="K236" t="str">
        <f t="shared" si="21"/>
        <v>Promoted</v>
      </c>
      <c r="L236" t="str">
        <f t="shared" si="22"/>
        <v>Known Employee</v>
      </c>
      <c r="M236">
        <f t="shared" si="24"/>
        <v>1</v>
      </c>
      <c r="N236" t="str">
        <f t="shared" si="23"/>
        <v>March</v>
      </c>
    </row>
    <row r="237" spans="1:14" x14ac:dyDescent="0.3">
      <c r="A237" s="2" t="s">
        <v>513</v>
      </c>
      <c r="B237" t="s">
        <v>174</v>
      </c>
      <c r="C237" s="2" t="s">
        <v>29</v>
      </c>
      <c r="D237" s="2" t="s">
        <v>123</v>
      </c>
      <c r="E237" s="2" t="s">
        <v>13</v>
      </c>
      <c r="F237" s="2" t="s">
        <v>507</v>
      </c>
      <c r="G237" s="3">
        <v>649</v>
      </c>
      <c r="H237" s="1" t="s">
        <v>514</v>
      </c>
      <c r="I237">
        <f t="shared" si="19"/>
        <v>4</v>
      </c>
      <c r="J237" t="str">
        <f t="shared" si="20"/>
        <v>Regular</v>
      </c>
      <c r="K237" t="str">
        <f t="shared" si="21"/>
        <v>Promoted</v>
      </c>
      <c r="L237" t="str">
        <f t="shared" si="22"/>
        <v>Known Employee</v>
      </c>
      <c r="M237">
        <f t="shared" si="24"/>
        <v>9</v>
      </c>
      <c r="N237" t="str">
        <f t="shared" si="23"/>
        <v>April</v>
      </c>
    </row>
    <row r="238" spans="1:14" x14ac:dyDescent="0.3">
      <c r="A238" s="2" t="s">
        <v>685</v>
      </c>
      <c r="B238" t="s">
        <v>191</v>
      </c>
      <c r="C238" s="2" t="s">
        <v>53</v>
      </c>
      <c r="D238" s="2" t="s">
        <v>83</v>
      </c>
      <c r="E238" s="2" t="s">
        <v>158</v>
      </c>
      <c r="F238" s="2" t="s">
        <v>25</v>
      </c>
      <c r="G238" s="3">
        <v>422.75</v>
      </c>
      <c r="H238" s="1" t="s">
        <v>514</v>
      </c>
      <c r="I238">
        <f t="shared" si="19"/>
        <v>4</v>
      </c>
      <c r="J238" t="str">
        <f t="shared" si="20"/>
        <v>Regular</v>
      </c>
      <c r="K238" t="str">
        <f t="shared" si="21"/>
        <v>Promoted</v>
      </c>
      <c r="L238" t="str">
        <f t="shared" si="22"/>
        <v>Known Employee</v>
      </c>
      <c r="M238">
        <f t="shared" si="24"/>
        <v>3</v>
      </c>
      <c r="N238" t="str">
        <f t="shared" si="23"/>
        <v>April</v>
      </c>
    </row>
    <row r="239" spans="1:14" x14ac:dyDescent="0.3">
      <c r="A239" s="2" t="s">
        <v>1697</v>
      </c>
      <c r="B239" t="s">
        <v>79</v>
      </c>
      <c r="C239" s="2" t="s">
        <v>157</v>
      </c>
      <c r="D239" s="2" t="s">
        <v>118</v>
      </c>
      <c r="E239" s="2" t="s">
        <v>13</v>
      </c>
      <c r="F239" s="2" t="s">
        <v>25</v>
      </c>
      <c r="G239" s="3">
        <v>595</v>
      </c>
      <c r="H239" s="1" t="s">
        <v>1968</v>
      </c>
      <c r="I239">
        <f t="shared" si="19"/>
        <v>4</v>
      </c>
      <c r="J239" t="str">
        <f t="shared" si="20"/>
        <v>Regular</v>
      </c>
      <c r="K239" t="str">
        <f t="shared" si="21"/>
        <v>Promoted</v>
      </c>
      <c r="L239" t="str">
        <f t="shared" si="22"/>
        <v>Known Employee</v>
      </c>
      <c r="M239">
        <f t="shared" si="24"/>
        <v>7</v>
      </c>
      <c r="N239" t="str">
        <f t="shared" si="23"/>
        <v>April</v>
      </c>
    </row>
    <row r="240" spans="1:14" x14ac:dyDescent="0.3">
      <c r="A240" s="2" t="s">
        <v>382</v>
      </c>
      <c r="B240" t="s">
        <v>111</v>
      </c>
      <c r="C240" s="2" t="s">
        <v>18</v>
      </c>
      <c r="D240" s="2" t="s">
        <v>87</v>
      </c>
      <c r="E240" s="2" t="s">
        <v>64</v>
      </c>
      <c r="F240" s="2" t="s">
        <v>40</v>
      </c>
      <c r="G240" s="3">
        <v>534</v>
      </c>
      <c r="H240" s="1" t="s">
        <v>383</v>
      </c>
      <c r="I240">
        <f t="shared" si="19"/>
        <v>4</v>
      </c>
      <c r="J240" t="str">
        <f t="shared" si="20"/>
        <v>Regular</v>
      </c>
      <c r="K240" t="str">
        <f t="shared" si="21"/>
        <v>Promoted</v>
      </c>
      <c r="L240" t="str">
        <f t="shared" si="22"/>
        <v>Known Employee</v>
      </c>
      <c r="M240">
        <f t="shared" si="24"/>
        <v>4</v>
      </c>
      <c r="N240" t="str">
        <f t="shared" si="23"/>
        <v>April</v>
      </c>
    </row>
    <row r="241" spans="1:14" x14ac:dyDescent="0.3">
      <c r="A241" s="2" t="s">
        <v>1869</v>
      </c>
      <c r="B241" t="s">
        <v>282</v>
      </c>
      <c r="C241" s="2" t="s">
        <v>53</v>
      </c>
      <c r="D241" s="2" t="s">
        <v>138</v>
      </c>
      <c r="E241" s="2" t="s">
        <v>13</v>
      </c>
      <c r="F241" s="2" t="s">
        <v>144</v>
      </c>
      <c r="G241" s="3">
        <v>390</v>
      </c>
      <c r="H241" s="1" t="s">
        <v>1870</v>
      </c>
      <c r="I241">
        <f t="shared" si="19"/>
        <v>4</v>
      </c>
      <c r="J241" t="str">
        <f t="shared" si="20"/>
        <v>Regular</v>
      </c>
      <c r="K241" t="str">
        <f t="shared" si="21"/>
        <v>Promoted</v>
      </c>
      <c r="L241" t="str">
        <f t="shared" si="22"/>
        <v>Known Employee</v>
      </c>
      <c r="M241">
        <f t="shared" si="24"/>
        <v>2</v>
      </c>
      <c r="N241" t="str">
        <f t="shared" si="23"/>
        <v>April</v>
      </c>
    </row>
    <row r="242" spans="1:14" x14ac:dyDescent="0.3">
      <c r="A242" s="2" t="s">
        <v>919</v>
      </c>
      <c r="B242" t="s">
        <v>155</v>
      </c>
      <c r="C242" s="2" t="s">
        <v>18</v>
      </c>
      <c r="D242" s="2" t="s">
        <v>12</v>
      </c>
      <c r="E242" s="2" t="s">
        <v>13</v>
      </c>
      <c r="F242" s="2" t="s">
        <v>40</v>
      </c>
      <c r="G242" s="3">
        <v>165</v>
      </c>
      <c r="H242" s="1" t="s">
        <v>920</v>
      </c>
      <c r="I242">
        <f t="shared" si="19"/>
        <v>5</v>
      </c>
      <c r="J242" t="str">
        <f t="shared" si="20"/>
        <v>Regular</v>
      </c>
      <c r="K242" t="str">
        <f t="shared" si="21"/>
        <v>Promoted</v>
      </c>
      <c r="L242" t="str">
        <f t="shared" si="22"/>
        <v>Known Employee</v>
      </c>
      <c r="M242">
        <f t="shared" si="24"/>
        <v>5</v>
      </c>
      <c r="N242" t="str">
        <f t="shared" si="23"/>
        <v>May</v>
      </c>
    </row>
    <row r="243" spans="1:14" x14ac:dyDescent="0.3">
      <c r="A243" s="2" t="s">
        <v>1041</v>
      </c>
      <c r="B243" t="s">
        <v>1043</v>
      </c>
      <c r="C243" s="2" t="s">
        <v>35</v>
      </c>
      <c r="D243" s="2" t="s">
        <v>44</v>
      </c>
      <c r="E243" s="2" t="s">
        <v>13</v>
      </c>
      <c r="F243" s="2" t="s">
        <v>1945</v>
      </c>
      <c r="G243" s="3">
        <v>360</v>
      </c>
      <c r="H243" s="1" t="s">
        <v>1042</v>
      </c>
      <c r="I243">
        <f t="shared" si="19"/>
        <v>5</v>
      </c>
      <c r="J243" t="str">
        <f t="shared" si="20"/>
        <v>Regular</v>
      </c>
      <c r="K243" t="str">
        <f t="shared" si="21"/>
        <v>Promoted</v>
      </c>
      <c r="L243" t="str">
        <f t="shared" si="22"/>
        <v>Known Employee</v>
      </c>
      <c r="M243">
        <f t="shared" si="24"/>
        <v>3</v>
      </c>
      <c r="N243" t="str">
        <f t="shared" si="23"/>
        <v>May</v>
      </c>
    </row>
    <row r="244" spans="1:14" x14ac:dyDescent="0.3">
      <c r="A244" s="2" t="s">
        <v>1199</v>
      </c>
      <c r="B244" t="s">
        <v>610</v>
      </c>
      <c r="C244" s="2" t="s">
        <v>53</v>
      </c>
      <c r="D244" s="2" t="s">
        <v>138</v>
      </c>
      <c r="E244" s="2" t="s">
        <v>13</v>
      </c>
      <c r="F244" s="2" t="s">
        <v>25</v>
      </c>
      <c r="G244" s="3">
        <v>395</v>
      </c>
      <c r="H244" s="1" t="s">
        <v>1200</v>
      </c>
      <c r="I244">
        <f t="shared" si="19"/>
        <v>5</v>
      </c>
      <c r="J244" t="str">
        <f t="shared" si="20"/>
        <v>Regular</v>
      </c>
      <c r="K244" t="str">
        <f t="shared" si="21"/>
        <v>Promoted</v>
      </c>
      <c r="L244" t="str">
        <f t="shared" si="22"/>
        <v>Known Employee</v>
      </c>
      <c r="M244">
        <f t="shared" si="24"/>
        <v>7</v>
      </c>
      <c r="N244" t="str">
        <f t="shared" si="23"/>
        <v>May</v>
      </c>
    </row>
    <row r="245" spans="1:14" x14ac:dyDescent="0.3">
      <c r="A245" s="2" t="s">
        <v>112</v>
      </c>
      <c r="B245" t="s">
        <v>114</v>
      </c>
      <c r="C245" s="2" t="s">
        <v>18</v>
      </c>
      <c r="D245" s="2" t="s">
        <v>87</v>
      </c>
      <c r="E245" s="2" t="s">
        <v>13</v>
      </c>
      <c r="F245" s="2" t="s">
        <v>14</v>
      </c>
      <c r="G245" s="3">
        <v>351</v>
      </c>
      <c r="H245" s="1" t="s">
        <v>113</v>
      </c>
      <c r="I245">
        <f t="shared" si="19"/>
        <v>5</v>
      </c>
      <c r="J245" t="str">
        <f t="shared" si="20"/>
        <v>Regular</v>
      </c>
      <c r="K245" t="str">
        <f t="shared" si="21"/>
        <v>Promoted</v>
      </c>
      <c r="L245" t="str">
        <f t="shared" si="22"/>
        <v>Known Employee</v>
      </c>
      <c r="M245">
        <f t="shared" si="24"/>
        <v>3</v>
      </c>
      <c r="N245" t="str">
        <f t="shared" si="23"/>
        <v>May</v>
      </c>
    </row>
    <row r="246" spans="1:14" x14ac:dyDescent="0.3">
      <c r="A246" s="2" t="s">
        <v>518</v>
      </c>
      <c r="B246" t="s">
        <v>520</v>
      </c>
      <c r="C246" s="2" t="s">
        <v>35</v>
      </c>
      <c r="D246" s="2" t="s">
        <v>392</v>
      </c>
      <c r="E246" s="2" t="s">
        <v>64</v>
      </c>
      <c r="F246" s="2" t="s">
        <v>65</v>
      </c>
      <c r="G246" s="3">
        <v>160</v>
      </c>
      <c r="H246" s="1" t="s">
        <v>519</v>
      </c>
      <c r="I246">
        <f t="shared" si="19"/>
        <v>5</v>
      </c>
      <c r="J246" t="str">
        <f t="shared" si="20"/>
        <v>Regular</v>
      </c>
      <c r="K246" t="str">
        <f t="shared" si="21"/>
        <v>Promoted</v>
      </c>
      <c r="L246" t="str">
        <f t="shared" si="22"/>
        <v>Known Employee</v>
      </c>
      <c r="M246">
        <f t="shared" si="24"/>
        <v>5</v>
      </c>
      <c r="N246" t="str">
        <f t="shared" si="23"/>
        <v>May</v>
      </c>
    </row>
    <row r="247" spans="1:14" x14ac:dyDescent="0.3">
      <c r="A247" s="2" t="s">
        <v>1636</v>
      </c>
      <c r="B247" t="s">
        <v>610</v>
      </c>
      <c r="C247" s="2" t="s">
        <v>53</v>
      </c>
      <c r="D247" s="2" t="s">
        <v>118</v>
      </c>
      <c r="E247" s="2" t="s">
        <v>13</v>
      </c>
      <c r="F247" s="2" t="s">
        <v>40</v>
      </c>
      <c r="G247" s="3">
        <v>430</v>
      </c>
      <c r="H247" s="1" t="s">
        <v>1637</v>
      </c>
      <c r="I247">
        <f t="shared" si="19"/>
        <v>5</v>
      </c>
      <c r="J247" t="str">
        <f t="shared" si="20"/>
        <v>Regular</v>
      </c>
      <c r="K247" t="str">
        <f t="shared" si="21"/>
        <v>Promoted</v>
      </c>
      <c r="L247" t="str">
        <f t="shared" si="22"/>
        <v>Known Employee</v>
      </c>
      <c r="M247">
        <f t="shared" si="24"/>
        <v>7</v>
      </c>
      <c r="N247" t="str">
        <f t="shared" si="23"/>
        <v>May</v>
      </c>
    </row>
    <row r="248" spans="1:14" x14ac:dyDescent="0.3">
      <c r="A248" s="2" t="s">
        <v>37</v>
      </c>
      <c r="B248" t="s">
        <v>39</v>
      </c>
      <c r="C248" s="2" t="s">
        <v>18</v>
      </c>
      <c r="D248" s="2" t="s">
        <v>19</v>
      </c>
      <c r="E248" s="2" t="s">
        <v>24</v>
      </c>
      <c r="F248" s="2" t="s">
        <v>40</v>
      </c>
      <c r="G248" s="3">
        <v>693</v>
      </c>
      <c r="H248" s="1" t="s">
        <v>38</v>
      </c>
      <c r="I248">
        <f t="shared" si="19"/>
        <v>5</v>
      </c>
      <c r="J248" t="str">
        <f t="shared" si="20"/>
        <v>Regular</v>
      </c>
      <c r="K248" t="str">
        <f t="shared" si="21"/>
        <v>Promoted</v>
      </c>
      <c r="L248" t="str">
        <f t="shared" si="22"/>
        <v>Known Employee</v>
      </c>
      <c r="M248">
        <f t="shared" si="24"/>
        <v>2</v>
      </c>
      <c r="N248" t="str">
        <f t="shared" si="23"/>
        <v>May</v>
      </c>
    </row>
    <row r="249" spans="1:14" x14ac:dyDescent="0.3">
      <c r="A249" s="2" t="s">
        <v>1352</v>
      </c>
      <c r="B249" t="s">
        <v>122</v>
      </c>
      <c r="C249" s="2" t="s">
        <v>29</v>
      </c>
      <c r="D249" s="2" t="s">
        <v>1245</v>
      </c>
      <c r="E249" s="2" t="s">
        <v>13</v>
      </c>
      <c r="F249" s="2" t="s">
        <v>14</v>
      </c>
      <c r="G249" s="3">
        <v>239</v>
      </c>
      <c r="H249" s="1" t="s">
        <v>38</v>
      </c>
      <c r="I249">
        <f t="shared" si="19"/>
        <v>5</v>
      </c>
      <c r="J249" t="str">
        <f t="shared" si="20"/>
        <v>Regular</v>
      </c>
      <c r="K249" t="str">
        <f t="shared" si="21"/>
        <v>Promoted</v>
      </c>
      <c r="L249" t="str">
        <f t="shared" si="22"/>
        <v>Known Employee</v>
      </c>
      <c r="M249">
        <f t="shared" si="24"/>
        <v>6</v>
      </c>
      <c r="N249" t="str">
        <f t="shared" si="23"/>
        <v>May</v>
      </c>
    </row>
    <row r="250" spans="1:14" x14ac:dyDescent="0.3">
      <c r="A250" s="2" t="s">
        <v>1773</v>
      </c>
      <c r="B250" t="s">
        <v>668</v>
      </c>
      <c r="C250" s="2" t="s">
        <v>53</v>
      </c>
      <c r="D250" s="2" t="s">
        <v>138</v>
      </c>
      <c r="E250" s="2" t="s">
        <v>13</v>
      </c>
      <c r="F250" s="2" t="s">
        <v>65</v>
      </c>
      <c r="G250" s="3">
        <v>255</v>
      </c>
      <c r="H250" s="1" t="s">
        <v>1774</v>
      </c>
      <c r="I250">
        <f t="shared" si="19"/>
        <v>5</v>
      </c>
      <c r="J250" t="str">
        <f t="shared" si="20"/>
        <v>Regular</v>
      </c>
      <c r="K250" t="str">
        <f t="shared" si="21"/>
        <v>Promoted</v>
      </c>
      <c r="L250" t="str">
        <f t="shared" si="22"/>
        <v>Known Employee</v>
      </c>
      <c r="M250">
        <f t="shared" si="24"/>
        <v>4</v>
      </c>
      <c r="N250" t="str">
        <f t="shared" si="23"/>
        <v>May</v>
      </c>
    </row>
    <row r="251" spans="1:14" x14ac:dyDescent="0.3">
      <c r="A251" s="2" t="s">
        <v>707</v>
      </c>
      <c r="B251" t="s">
        <v>191</v>
      </c>
      <c r="C251" s="2" t="s">
        <v>53</v>
      </c>
      <c r="D251" s="2" t="s">
        <v>138</v>
      </c>
      <c r="E251" s="2" t="s">
        <v>158</v>
      </c>
      <c r="F251" s="2" t="s">
        <v>14</v>
      </c>
      <c r="G251" s="3">
        <v>165.3</v>
      </c>
      <c r="H251" s="1" t="s">
        <v>708</v>
      </c>
      <c r="I251">
        <f t="shared" si="19"/>
        <v>5</v>
      </c>
      <c r="J251" t="str">
        <f t="shared" si="20"/>
        <v>Regular</v>
      </c>
      <c r="K251" t="str">
        <f t="shared" si="21"/>
        <v>Promoted</v>
      </c>
      <c r="L251" t="str">
        <f t="shared" si="22"/>
        <v>Known Employee</v>
      </c>
      <c r="M251">
        <f t="shared" si="24"/>
        <v>3</v>
      </c>
      <c r="N251" t="str">
        <f t="shared" si="23"/>
        <v>May</v>
      </c>
    </row>
    <row r="252" spans="1:14" x14ac:dyDescent="0.3">
      <c r="A252" s="2" t="s">
        <v>750</v>
      </c>
      <c r="B252" t="s">
        <v>298</v>
      </c>
      <c r="C252" s="2" t="s">
        <v>1945</v>
      </c>
      <c r="D252" s="2" t="s">
        <v>200</v>
      </c>
      <c r="E252" s="2" t="s">
        <v>13</v>
      </c>
      <c r="F252" s="2" t="s">
        <v>40</v>
      </c>
      <c r="G252" s="3">
        <v>85</v>
      </c>
      <c r="H252" s="1" t="s">
        <v>708</v>
      </c>
      <c r="I252">
        <f t="shared" si="19"/>
        <v>5</v>
      </c>
      <c r="J252" t="str">
        <f t="shared" si="20"/>
        <v>Regular</v>
      </c>
      <c r="K252" t="str">
        <f t="shared" si="21"/>
        <v>Promoted</v>
      </c>
      <c r="L252" t="str">
        <f t="shared" si="22"/>
        <v>Known Employee</v>
      </c>
      <c r="M252">
        <f t="shared" si="24"/>
        <v>2</v>
      </c>
      <c r="N252" t="str">
        <f t="shared" si="23"/>
        <v>May</v>
      </c>
    </row>
    <row r="253" spans="1:14" x14ac:dyDescent="0.3">
      <c r="A253" s="2" t="s">
        <v>277</v>
      </c>
      <c r="B253" t="s">
        <v>174</v>
      </c>
      <c r="C253" s="2" t="s">
        <v>35</v>
      </c>
      <c r="D253" s="2" t="s">
        <v>140</v>
      </c>
      <c r="E253" s="2" t="s">
        <v>1946</v>
      </c>
      <c r="F253" s="2" t="s">
        <v>40</v>
      </c>
      <c r="G253" s="3">
        <v>334</v>
      </c>
      <c r="H253" s="1" t="s">
        <v>278</v>
      </c>
      <c r="I253">
        <f t="shared" si="19"/>
        <v>5</v>
      </c>
      <c r="J253" t="str">
        <f t="shared" si="20"/>
        <v>Regular</v>
      </c>
      <c r="K253" t="str">
        <f t="shared" si="21"/>
        <v>Not Promoted</v>
      </c>
      <c r="L253" t="str">
        <f t="shared" si="22"/>
        <v>Known Employee</v>
      </c>
      <c r="M253">
        <f t="shared" si="24"/>
        <v>9</v>
      </c>
      <c r="N253" t="str">
        <f t="shared" si="23"/>
        <v>May</v>
      </c>
    </row>
    <row r="254" spans="1:14" x14ac:dyDescent="0.3">
      <c r="A254" s="2" t="s">
        <v>991</v>
      </c>
      <c r="B254" t="s">
        <v>610</v>
      </c>
      <c r="C254" s="2" t="s">
        <v>18</v>
      </c>
      <c r="D254" s="2" t="s">
        <v>19</v>
      </c>
      <c r="E254" s="2" t="s">
        <v>13</v>
      </c>
      <c r="F254" s="2" t="s">
        <v>25</v>
      </c>
      <c r="G254" s="3">
        <v>670</v>
      </c>
      <c r="H254" s="1" t="s">
        <v>992</v>
      </c>
      <c r="I254">
        <f t="shared" si="19"/>
        <v>5</v>
      </c>
      <c r="J254" t="str">
        <f t="shared" si="20"/>
        <v>Regular</v>
      </c>
      <c r="K254" t="str">
        <f t="shared" si="21"/>
        <v>Promoted</v>
      </c>
      <c r="L254" t="str">
        <f t="shared" si="22"/>
        <v>Known Employee</v>
      </c>
      <c r="M254">
        <f t="shared" si="24"/>
        <v>7</v>
      </c>
      <c r="N254" t="str">
        <f t="shared" si="23"/>
        <v>May</v>
      </c>
    </row>
    <row r="255" spans="1:14" x14ac:dyDescent="0.3">
      <c r="A255" s="2" t="s">
        <v>1571</v>
      </c>
      <c r="B255" t="s">
        <v>57</v>
      </c>
      <c r="C255" s="2" t="s">
        <v>18</v>
      </c>
      <c r="D255" s="2" t="s">
        <v>1945</v>
      </c>
      <c r="E255" s="2" t="s">
        <v>54</v>
      </c>
      <c r="F255" s="2" t="s">
        <v>14</v>
      </c>
      <c r="G255" s="3">
        <v>242.25</v>
      </c>
      <c r="H255" s="1" t="s">
        <v>1572</v>
      </c>
      <c r="I255">
        <f t="shared" si="19"/>
        <v>5</v>
      </c>
      <c r="J255" t="str">
        <f t="shared" si="20"/>
        <v>Regular</v>
      </c>
      <c r="K255" t="str">
        <f t="shared" si="21"/>
        <v>Promoted</v>
      </c>
      <c r="L255" t="str">
        <f t="shared" si="22"/>
        <v>Employee</v>
      </c>
      <c r="M255">
        <f t="shared" si="24"/>
        <v>8</v>
      </c>
      <c r="N255" t="str">
        <f t="shared" si="23"/>
        <v>May</v>
      </c>
    </row>
    <row r="256" spans="1:14" x14ac:dyDescent="0.3">
      <c r="A256" s="2" t="s">
        <v>957</v>
      </c>
      <c r="B256" t="s">
        <v>930</v>
      </c>
      <c r="C256" s="2" t="s">
        <v>53</v>
      </c>
      <c r="D256" s="2" t="s">
        <v>104</v>
      </c>
      <c r="E256" s="2" t="s">
        <v>13</v>
      </c>
      <c r="F256" s="2" t="s">
        <v>40</v>
      </c>
      <c r="G256" s="3">
        <v>543</v>
      </c>
      <c r="H256" s="1" t="s">
        <v>958</v>
      </c>
      <c r="I256">
        <f t="shared" si="19"/>
        <v>5</v>
      </c>
      <c r="J256" t="str">
        <f t="shared" si="20"/>
        <v>Regular</v>
      </c>
      <c r="K256" t="str">
        <f t="shared" si="21"/>
        <v>Promoted</v>
      </c>
      <c r="L256" t="str">
        <f t="shared" si="22"/>
        <v>Known Employee</v>
      </c>
      <c r="M256">
        <f t="shared" si="24"/>
        <v>4</v>
      </c>
      <c r="N256" t="str">
        <f t="shared" si="23"/>
        <v>May</v>
      </c>
    </row>
    <row r="257" spans="1:14" x14ac:dyDescent="0.3">
      <c r="A257" s="2" t="s">
        <v>1434</v>
      </c>
      <c r="B257" t="s">
        <v>930</v>
      </c>
      <c r="C257" s="2" t="s">
        <v>29</v>
      </c>
      <c r="D257" s="2" t="s">
        <v>49</v>
      </c>
      <c r="E257" s="2" t="s">
        <v>13</v>
      </c>
      <c r="F257" s="2" t="s">
        <v>65</v>
      </c>
      <c r="G257" s="3">
        <v>455</v>
      </c>
      <c r="H257" s="1" t="s">
        <v>1435</v>
      </c>
      <c r="I257">
        <f t="shared" si="19"/>
        <v>5</v>
      </c>
      <c r="J257" t="str">
        <f t="shared" si="20"/>
        <v>Regular</v>
      </c>
      <c r="K257" t="str">
        <f t="shared" si="21"/>
        <v>Promoted</v>
      </c>
      <c r="L257" t="str">
        <f t="shared" si="22"/>
        <v>Known Employee</v>
      </c>
      <c r="M257">
        <f t="shared" si="24"/>
        <v>4</v>
      </c>
      <c r="N257" t="str">
        <f t="shared" si="23"/>
        <v>May</v>
      </c>
    </row>
    <row r="258" spans="1:14" x14ac:dyDescent="0.3">
      <c r="A258" s="2" t="s">
        <v>418</v>
      </c>
      <c r="B258" t="s">
        <v>177</v>
      </c>
      <c r="C258" s="2" t="s">
        <v>29</v>
      </c>
      <c r="D258" s="2" t="s">
        <v>49</v>
      </c>
      <c r="E258" s="2" t="s">
        <v>54</v>
      </c>
      <c r="F258" s="2" t="s">
        <v>40</v>
      </c>
      <c r="G258" s="3">
        <v>233.75</v>
      </c>
      <c r="H258" s="1" t="s">
        <v>419</v>
      </c>
      <c r="I258">
        <f t="shared" ref="I258:I321" si="25">MONTH(H258)</f>
        <v>5</v>
      </c>
      <c r="J258" t="str">
        <f t="shared" ref="J258:J321" si="26">IF(OR(I258=10,I258=11),"Diwali",IF(I258=9,"Navratri",IF(I258=8,"Rakshabandhan",IF(I258=3,"Holi",IF(I258=1,"Makar Sankranti","Regular")))))</f>
        <v>Regular</v>
      </c>
      <c r="K258" t="str">
        <f t="shared" ref="K258:K321" si="27" xml:space="preserve"> IF(E258="No Promotion", "Not Promoted", "Promoted")</f>
        <v>Promoted</v>
      </c>
      <c r="L258" t="str">
        <f t="shared" ref="L258:L321" si="28" xml:space="preserve"> IF(D258="Unknown","Employee","Known Employee")</f>
        <v>Known Employee</v>
      </c>
      <c r="M258">
        <f t="shared" si="24"/>
        <v>5</v>
      </c>
      <c r="N258" t="str">
        <f t="shared" si="23"/>
        <v>May</v>
      </c>
    </row>
    <row r="259" spans="1:14" x14ac:dyDescent="0.3">
      <c r="A259" s="2" t="s">
        <v>849</v>
      </c>
      <c r="B259" t="s">
        <v>851</v>
      </c>
      <c r="C259" s="2" t="s">
        <v>35</v>
      </c>
      <c r="D259" s="2" t="s">
        <v>340</v>
      </c>
      <c r="E259" s="2" t="s">
        <v>13</v>
      </c>
      <c r="F259" s="2" t="s">
        <v>25</v>
      </c>
      <c r="G259" s="3">
        <v>170</v>
      </c>
      <c r="H259" s="1" t="s">
        <v>850</v>
      </c>
      <c r="I259">
        <f t="shared" si="25"/>
        <v>6</v>
      </c>
      <c r="J259" t="str">
        <f t="shared" si="26"/>
        <v>Regular</v>
      </c>
      <c r="K259" t="str">
        <f t="shared" si="27"/>
        <v>Promoted</v>
      </c>
      <c r="L259" t="str">
        <f t="shared" si="28"/>
        <v>Known Employee</v>
      </c>
      <c r="M259">
        <f t="shared" si="24"/>
        <v>6</v>
      </c>
      <c r="N259" t="str">
        <f t="shared" ref="N259:N322" si="29">TEXT(DATE(2000, I259, 1), "mmmm")</f>
        <v>June</v>
      </c>
    </row>
    <row r="260" spans="1:14" x14ac:dyDescent="0.3">
      <c r="A260" s="2" t="s">
        <v>448</v>
      </c>
      <c r="B260" t="s">
        <v>328</v>
      </c>
      <c r="C260" s="2" t="s">
        <v>29</v>
      </c>
      <c r="D260" s="2" t="s">
        <v>200</v>
      </c>
      <c r="E260" s="2" t="s">
        <v>24</v>
      </c>
      <c r="F260" s="2" t="s">
        <v>14</v>
      </c>
      <c r="G260" s="3">
        <v>104.4</v>
      </c>
      <c r="H260" s="1" t="s">
        <v>449</v>
      </c>
      <c r="I260">
        <f t="shared" si="25"/>
        <v>6</v>
      </c>
      <c r="J260" t="str">
        <f t="shared" si="26"/>
        <v>Regular</v>
      </c>
      <c r="K260" t="str">
        <f t="shared" si="27"/>
        <v>Promoted</v>
      </c>
      <c r="L260" t="str">
        <f t="shared" si="28"/>
        <v>Known Employee</v>
      </c>
      <c r="M260">
        <f t="shared" si="24"/>
        <v>3</v>
      </c>
      <c r="N260" t="str">
        <f t="shared" si="29"/>
        <v>June</v>
      </c>
    </row>
    <row r="261" spans="1:14" x14ac:dyDescent="0.3">
      <c r="A261" s="2" t="s">
        <v>1692</v>
      </c>
      <c r="B261" t="s">
        <v>1000</v>
      </c>
      <c r="C261" s="2" t="s">
        <v>35</v>
      </c>
      <c r="D261" s="2" t="s">
        <v>44</v>
      </c>
      <c r="E261" s="2" t="s">
        <v>13</v>
      </c>
      <c r="F261" s="2" t="s">
        <v>40</v>
      </c>
      <c r="G261" s="3">
        <v>174</v>
      </c>
      <c r="H261" s="1" t="s">
        <v>444</v>
      </c>
      <c r="I261">
        <f t="shared" si="25"/>
        <v>6</v>
      </c>
      <c r="J261" t="str">
        <f t="shared" si="26"/>
        <v>Regular</v>
      </c>
      <c r="K261" t="str">
        <f t="shared" si="27"/>
        <v>Promoted</v>
      </c>
      <c r="L261" t="str">
        <f t="shared" si="28"/>
        <v>Known Employee</v>
      </c>
      <c r="M261">
        <f t="shared" si="24"/>
        <v>3</v>
      </c>
      <c r="N261" t="str">
        <f t="shared" si="29"/>
        <v>June</v>
      </c>
    </row>
    <row r="262" spans="1:14" x14ac:dyDescent="0.3">
      <c r="A262" s="2" t="s">
        <v>443</v>
      </c>
      <c r="B262" t="s">
        <v>445</v>
      </c>
      <c r="C262" s="2" t="s">
        <v>53</v>
      </c>
      <c r="D262" s="2" t="s">
        <v>104</v>
      </c>
      <c r="E262" s="2" t="s">
        <v>13</v>
      </c>
      <c r="F262" s="2" t="s">
        <v>65</v>
      </c>
      <c r="G262" s="3">
        <v>421</v>
      </c>
      <c r="H262" s="1" t="s">
        <v>444</v>
      </c>
      <c r="I262">
        <f t="shared" si="25"/>
        <v>6</v>
      </c>
      <c r="J262" t="str">
        <f t="shared" si="26"/>
        <v>Regular</v>
      </c>
      <c r="K262" t="str">
        <f t="shared" si="27"/>
        <v>Promoted</v>
      </c>
      <c r="L262" t="str">
        <f t="shared" si="28"/>
        <v>Known Employee</v>
      </c>
      <c r="M262">
        <f t="shared" si="24"/>
        <v>3</v>
      </c>
      <c r="N262" t="str">
        <f t="shared" si="29"/>
        <v>June</v>
      </c>
    </row>
    <row r="263" spans="1:14" x14ac:dyDescent="0.3">
      <c r="A263" s="2" t="s">
        <v>1184</v>
      </c>
      <c r="B263" t="s">
        <v>1185</v>
      </c>
      <c r="C263" s="2" t="s">
        <v>35</v>
      </c>
      <c r="D263" s="2" t="s">
        <v>440</v>
      </c>
      <c r="E263" s="2" t="s">
        <v>158</v>
      </c>
      <c r="F263" s="2" t="s">
        <v>119</v>
      </c>
      <c r="G263" s="3">
        <v>243.2</v>
      </c>
      <c r="H263" s="1" t="s">
        <v>444</v>
      </c>
      <c r="I263">
        <f t="shared" si="25"/>
        <v>6</v>
      </c>
      <c r="J263" t="str">
        <f t="shared" si="26"/>
        <v>Regular</v>
      </c>
      <c r="K263" t="str">
        <f t="shared" si="27"/>
        <v>Promoted</v>
      </c>
      <c r="L263" t="str">
        <f t="shared" si="28"/>
        <v>Known Employee</v>
      </c>
      <c r="M263">
        <f t="shared" si="24"/>
        <v>4</v>
      </c>
      <c r="N263" t="str">
        <f t="shared" si="29"/>
        <v>June</v>
      </c>
    </row>
    <row r="264" spans="1:14" x14ac:dyDescent="0.3">
      <c r="A264" s="2" t="s">
        <v>1650</v>
      </c>
      <c r="B264" t="s">
        <v>227</v>
      </c>
      <c r="C264" s="2" t="s">
        <v>53</v>
      </c>
      <c r="D264" s="2" t="s">
        <v>76</v>
      </c>
      <c r="E264" s="2" t="s">
        <v>24</v>
      </c>
      <c r="F264" s="2" t="s">
        <v>1945</v>
      </c>
      <c r="G264" s="3">
        <v>135</v>
      </c>
      <c r="H264" s="1" t="s">
        <v>1651</v>
      </c>
      <c r="I264">
        <f t="shared" si="25"/>
        <v>6</v>
      </c>
      <c r="J264" t="str">
        <f t="shared" si="26"/>
        <v>Regular</v>
      </c>
      <c r="K264" t="str">
        <f t="shared" si="27"/>
        <v>Promoted</v>
      </c>
      <c r="L264" t="str">
        <f t="shared" si="28"/>
        <v>Known Employee</v>
      </c>
      <c r="M264">
        <f t="shared" si="24"/>
        <v>8</v>
      </c>
      <c r="N264" t="str">
        <f t="shared" si="29"/>
        <v>June</v>
      </c>
    </row>
    <row r="265" spans="1:14" x14ac:dyDescent="0.3">
      <c r="A265" s="2" t="s">
        <v>1480</v>
      </c>
      <c r="B265" t="s">
        <v>131</v>
      </c>
      <c r="C265" s="2" t="s">
        <v>18</v>
      </c>
      <c r="D265" s="2" t="s">
        <v>295</v>
      </c>
      <c r="E265" s="2" t="s">
        <v>24</v>
      </c>
      <c r="F265" s="2" t="s">
        <v>65</v>
      </c>
      <c r="G265" s="3">
        <v>383.4</v>
      </c>
      <c r="H265" s="1" t="s">
        <v>1481</v>
      </c>
      <c r="I265">
        <f t="shared" si="25"/>
        <v>6</v>
      </c>
      <c r="J265" t="str">
        <f t="shared" si="26"/>
        <v>Regular</v>
      </c>
      <c r="K265" t="str">
        <f t="shared" si="27"/>
        <v>Promoted</v>
      </c>
      <c r="L265" t="str">
        <f t="shared" si="28"/>
        <v>Known Employee</v>
      </c>
      <c r="M265">
        <f t="shared" si="24"/>
        <v>4</v>
      </c>
      <c r="N265" t="str">
        <f t="shared" si="29"/>
        <v>June</v>
      </c>
    </row>
    <row r="266" spans="1:14" x14ac:dyDescent="0.3">
      <c r="A266" s="2" t="s">
        <v>1250</v>
      </c>
      <c r="B266" t="s">
        <v>833</v>
      </c>
      <c r="C266" s="2" t="s">
        <v>35</v>
      </c>
      <c r="D266" s="2" t="s">
        <v>36</v>
      </c>
      <c r="E266" s="2" t="s">
        <v>13</v>
      </c>
      <c r="F266" s="2" t="s">
        <v>40</v>
      </c>
      <c r="G266" s="3">
        <v>745</v>
      </c>
      <c r="H266" s="1" t="s">
        <v>1251</v>
      </c>
      <c r="I266">
        <f t="shared" si="25"/>
        <v>6</v>
      </c>
      <c r="J266" t="str">
        <f t="shared" si="26"/>
        <v>Regular</v>
      </c>
      <c r="K266" t="str">
        <f t="shared" si="27"/>
        <v>Promoted</v>
      </c>
      <c r="L266" t="str">
        <f t="shared" si="28"/>
        <v>Known Employee</v>
      </c>
      <c r="M266">
        <f t="shared" ref="M266:M329" si="30">COUNTIF($B$1:$B$805, B266)</f>
        <v>4</v>
      </c>
      <c r="N266" t="str">
        <f t="shared" si="29"/>
        <v>June</v>
      </c>
    </row>
    <row r="267" spans="1:14" x14ac:dyDescent="0.3">
      <c r="A267" s="2" t="s">
        <v>801</v>
      </c>
      <c r="B267" t="s">
        <v>103</v>
      </c>
      <c r="C267" s="2" t="s">
        <v>479</v>
      </c>
      <c r="D267" s="2" t="s">
        <v>123</v>
      </c>
      <c r="E267" s="2" t="s">
        <v>13</v>
      </c>
      <c r="F267" s="2" t="s">
        <v>14</v>
      </c>
      <c r="G267" s="3">
        <v>140</v>
      </c>
      <c r="H267" s="1" t="s">
        <v>802</v>
      </c>
      <c r="I267">
        <f t="shared" si="25"/>
        <v>6</v>
      </c>
      <c r="J267" t="str">
        <f t="shared" si="26"/>
        <v>Regular</v>
      </c>
      <c r="K267" t="str">
        <f t="shared" si="27"/>
        <v>Promoted</v>
      </c>
      <c r="L267" t="str">
        <f t="shared" si="28"/>
        <v>Known Employee</v>
      </c>
      <c r="M267">
        <f t="shared" si="30"/>
        <v>4</v>
      </c>
      <c r="N267" t="str">
        <f t="shared" si="29"/>
        <v>June</v>
      </c>
    </row>
    <row r="268" spans="1:14" x14ac:dyDescent="0.3">
      <c r="A268" s="2" t="s">
        <v>1151</v>
      </c>
      <c r="B268" t="s">
        <v>694</v>
      </c>
      <c r="C268" s="2" t="s">
        <v>29</v>
      </c>
      <c r="D268" s="2" t="s">
        <v>123</v>
      </c>
      <c r="E268" s="2" t="s">
        <v>13</v>
      </c>
      <c r="F268" s="2" t="s">
        <v>14</v>
      </c>
      <c r="G268" s="3">
        <v>705</v>
      </c>
      <c r="H268" s="1" t="s">
        <v>1152</v>
      </c>
      <c r="I268">
        <f t="shared" si="25"/>
        <v>6</v>
      </c>
      <c r="J268" t="str">
        <f t="shared" si="26"/>
        <v>Regular</v>
      </c>
      <c r="K268" t="str">
        <f t="shared" si="27"/>
        <v>Promoted</v>
      </c>
      <c r="L268" t="str">
        <f t="shared" si="28"/>
        <v>Known Employee</v>
      </c>
      <c r="M268">
        <f t="shared" si="30"/>
        <v>4</v>
      </c>
      <c r="N268" t="str">
        <f t="shared" si="29"/>
        <v>June</v>
      </c>
    </row>
    <row r="269" spans="1:14" x14ac:dyDescent="0.3">
      <c r="A269" s="2" t="s">
        <v>1758</v>
      </c>
      <c r="B269" t="s">
        <v>1760</v>
      </c>
      <c r="C269" s="2" t="s">
        <v>29</v>
      </c>
      <c r="D269" s="2" t="s">
        <v>123</v>
      </c>
      <c r="E269" s="2" t="s">
        <v>13</v>
      </c>
      <c r="F269" s="2" t="s">
        <v>65</v>
      </c>
      <c r="G269" s="3">
        <v>555</v>
      </c>
      <c r="H269" s="1" t="s">
        <v>1759</v>
      </c>
      <c r="I269">
        <f t="shared" si="25"/>
        <v>6</v>
      </c>
      <c r="J269" t="str">
        <f t="shared" si="26"/>
        <v>Regular</v>
      </c>
      <c r="K269" t="str">
        <f t="shared" si="27"/>
        <v>Promoted</v>
      </c>
      <c r="L269" t="str">
        <f t="shared" si="28"/>
        <v>Known Employee</v>
      </c>
      <c r="M269">
        <f t="shared" si="30"/>
        <v>1</v>
      </c>
      <c r="N269" t="str">
        <f t="shared" si="29"/>
        <v>June</v>
      </c>
    </row>
    <row r="270" spans="1:14" x14ac:dyDescent="0.3">
      <c r="A270" s="2" t="s">
        <v>1748</v>
      </c>
      <c r="B270" t="s">
        <v>798</v>
      </c>
      <c r="C270" s="2" t="s">
        <v>35</v>
      </c>
      <c r="D270" s="2" t="s">
        <v>140</v>
      </c>
      <c r="E270" s="2" t="s">
        <v>24</v>
      </c>
      <c r="F270" s="2" t="s">
        <v>119</v>
      </c>
      <c r="G270" s="3">
        <v>390.6</v>
      </c>
      <c r="H270" s="1" t="s">
        <v>1970</v>
      </c>
      <c r="I270">
        <f t="shared" si="25"/>
        <v>6</v>
      </c>
      <c r="J270" t="str">
        <f t="shared" si="26"/>
        <v>Regular</v>
      </c>
      <c r="K270" t="str">
        <f t="shared" si="27"/>
        <v>Promoted</v>
      </c>
      <c r="L270" t="str">
        <f t="shared" si="28"/>
        <v>Known Employee</v>
      </c>
      <c r="M270">
        <f t="shared" si="30"/>
        <v>6</v>
      </c>
      <c r="N270" t="str">
        <f t="shared" si="29"/>
        <v>June</v>
      </c>
    </row>
    <row r="271" spans="1:14" x14ac:dyDescent="0.3">
      <c r="A271" s="2" t="s">
        <v>31</v>
      </c>
      <c r="B271" t="s">
        <v>437</v>
      </c>
      <c r="C271" s="2" t="s">
        <v>18</v>
      </c>
      <c r="D271" s="2" t="s">
        <v>12</v>
      </c>
      <c r="E271" s="2" t="s">
        <v>13</v>
      </c>
      <c r="F271" s="2" t="s">
        <v>40</v>
      </c>
      <c r="G271" s="3">
        <v>536</v>
      </c>
      <c r="H271" s="1" t="s">
        <v>436</v>
      </c>
      <c r="I271">
        <f t="shared" si="25"/>
        <v>6</v>
      </c>
      <c r="J271" t="str">
        <f t="shared" si="26"/>
        <v>Regular</v>
      </c>
      <c r="K271" t="str">
        <f t="shared" si="27"/>
        <v>Promoted</v>
      </c>
      <c r="L271" t="str">
        <f t="shared" si="28"/>
        <v>Known Employee</v>
      </c>
      <c r="M271">
        <f t="shared" si="30"/>
        <v>5</v>
      </c>
      <c r="N271" t="str">
        <f t="shared" si="29"/>
        <v>June</v>
      </c>
    </row>
    <row r="272" spans="1:14" x14ac:dyDescent="0.3">
      <c r="A272" s="2" t="s">
        <v>598</v>
      </c>
      <c r="B272" t="s">
        <v>273</v>
      </c>
      <c r="C272" s="2" t="s">
        <v>53</v>
      </c>
      <c r="D272" s="2" t="s">
        <v>76</v>
      </c>
      <c r="E272" s="2" t="s">
        <v>13</v>
      </c>
      <c r="F272" s="2" t="s">
        <v>25</v>
      </c>
      <c r="G272" s="3">
        <v>226</v>
      </c>
      <c r="H272" s="1" t="s">
        <v>436</v>
      </c>
      <c r="I272">
        <f t="shared" si="25"/>
        <v>6</v>
      </c>
      <c r="J272" t="str">
        <f t="shared" si="26"/>
        <v>Regular</v>
      </c>
      <c r="K272" t="str">
        <f t="shared" si="27"/>
        <v>Promoted</v>
      </c>
      <c r="L272" t="str">
        <f t="shared" si="28"/>
        <v>Known Employee</v>
      </c>
      <c r="M272">
        <f t="shared" si="30"/>
        <v>3</v>
      </c>
      <c r="N272" t="str">
        <f t="shared" si="29"/>
        <v>June</v>
      </c>
    </row>
    <row r="273" spans="1:14" x14ac:dyDescent="0.3">
      <c r="A273" s="2" t="s">
        <v>788</v>
      </c>
      <c r="B273" t="s">
        <v>57</v>
      </c>
      <c r="C273" s="2" t="s">
        <v>29</v>
      </c>
      <c r="D273" s="2" t="s">
        <v>790</v>
      </c>
      <c r="E273" s="2" t="s">
        <v>13</v>
      </c>
      <c r="F273" s="2" t="s">
        <v>65</v>
      </c>
      <c r="G273" s="3">
        <v>529</v>
      </c>
      <c r="H273" s="1" t="s">
        <v>789</v>
      </c>
      <c r="I273">
        <f t="shared" si="25"/>
        <v>6</v>
      </c>
      <c r="J273" t="str">
        <f t="shared" si="26"/>
        <v>Regular</v>
      </c>
      <c r="K273" t="str">
        <f t="shared" si="27"/>
        <v>Promoted</v>
      </c>
      <c r="L273" t="str">
        <f t="shared" si="28"/>
        <v>Known Employee</v>
      </c>
      <c r="M273">
        <f t="shared" si="30"/>
        <v>8</v>
      </c>
      <c r="N273" t="str">
        <f t="shared" si="29"/>
        <v>June</v>
      </c>
    </row>
    <row r="274" spans="1:14" x14ac:dyDescent="0.3">
      <c r="A274" s="2" t="s">
        <v>1310</v>
      </c>
      <c r="B274" t="s">
        <v>543</v>
      </c>
      <c r="C274" s="2" t="s">
        <v>53</v>
      </c>
      <c r="D274" s="2" t="s">
        <v>83</v>
      </c>
      <c r="E274" s="2" t="s">
        <v>13</v>
      </c>
      <c r="F274" s="2" t="s">
        <v>65</v>
      </c>
      <c r="G274" s="3">
        <v>65</v>
      </c>
      <c r="H274" s="1" t="s">
        <v>1311</v>
      </c>
      <c r="I274">
        <f t="shared" si="25"/>
        <v>6</v>
      </c>
      <c r="J274" t="str">
        <f t="shared" si="26"/>
        <v>Regular</v>
      </c>
      <c r="K274" t="str">
        <f t="shared" si="27"/>
        <v>Promoted</v>
      </c>
      <c r="L274" t="str">
        <f t="shared" si="28"/>
        <v>Known Employee</v>
      </c>
      <c r="M274">
        <f t="shared" si="30"/>
        <v>5</v>
      </c>
      <c r="N274" t="str">
        <f t="shared" si="29"/>
        <v>June</v>
      </c>
    </row>
    <row r="275" spans="1:14" x14ac:dyDescent="0.3">
      <c r="A275" s="2" t="s">
        <v>875</v>
      </c>
      <c r="B275" t="s">
        <v>877</v>
      </c>
      <c r="C275" s="2" t="s">
        <v>29</v>
      </c>
      <c r="D275" s="2" t="s">
        <v>30</v>
      </c>
      <c r="E275" s="2" t="s">
        <v>13</v>
      </c>
      <c r="F275" s="2" t="s">
        <v>507</v>
      </c>
      <c r="G275" s="3">
        <v>453</v>
      </c>
      <c r="H275" s="1" t="s">
        <v>1954</v>
      </c>
      <c r="I275">
        <f t="shared" si="25"/>
        <v>7</v>
      </c>
      <c r="J275" t="str">
        <f t="shared" si="26"/>
        <v>Regular</v>
      </c>
      <c r="K275" t="str">
        <f t="shared" si="27"/>
        <v>Promoted</v>
      </c>
      <c r="L275" t="str">
        <f t="shared" si="28"/>
        <v>Known Employee</v>
      </c>
      <c r="M275">
        <f t="shared" si="30"/>
        <v>1</v>
      </c>
      <c r="N275" t="str">
        <f t="shared" si="29"/>
        <v>July</v>
      </c>
    </row>
    <row r="276" spans="1:14" x14ac:dyDescent="0.3">
      <c r="A276" s="2" t="s">
        <v>232</v>
      </c>
      <c r="B276" t="s">
        <v>233</v>
      </c>
      <c r="C276" s="2" t="s">
        <v>18</v>
      </c>
      <c r="D276" s="2" t="s">
        <v>87</v>
      </c>
      <c r="E276" s="2" t="s">
        <v>13</v>
      </c>
      <c r="F276" s="2" t="s">
        <v>65</v>
      </c>
      <c r="G276" s="3">
        <v>478</v>
      </c>
      <c r="H276" s="1" t="s">
        <v>142</v>
      </c>
      <c r="I276">
        <f t="shared" si="25"/>
        <v>7</v>
      </c>
      <c r="J276" t="str">
        <f t="shared" si="26"/>
        <v>Regular</v>
      </c>
      <c r="K276" t="str">
        <f t="shared" si="27"/>
        <v>Promoted</v>
      </c>
      <c r="L276" t="str">
        <f t="shared" si="28"/>
        <v>Known Employee</v>
      </c>
      <c r="M276">
        <f t="shared" si="30"/>
        <v>6</v>
      </c>
      <c r="N276" t="str">
        <f t="shared" si="29"/>
        <v>July</v>
      </c>
    </row>
    <row r="277" spans="1:14" x14ac:dyDescent="0.3">
      <c r="A277" s="2" t="s">
        <v>141</v>
      </c>
      <c r="B277" t="s">
        <v>143</v>
      </c>
      <c r="C277" s="2" t="s">
        <v>29</v>
      </c>
      <c r="D277" s="2" t="s">
        <v>123</v>
      </c>
      <c r="E277" s="2" t="s">
        <v>13</v>
      </c>
      <c r="F277" s="2" t="s">
        <v>144</v>
      </c>
      <c r="G277" s="3">
        <v>195</v>
      </c>
      <c r="H277" s="1" t="s">
        <v>142</v>
      </c>
      <c r="I277">
        <f t="shared" si="25"/>
        <v>7</v>
      </c>
      <c r="J277" t="str">
        <f t="shared" si="26"/>
        <v>Regular</v>
      </c>
      <c r="K277" t="str">
        <f t="shared" si="27"/>
        <v>Promoted</v>
      </c>
      <c r="L277" t="str">
        <f t="shared" si="28"/>
        <v>Known Employee</v>
      </c>
      <c r="M277">
        <f t="shared" si="30"/>
        <v>3</v>
      </c>
      <c r="N277" t="str">
        <f t="shared" si="29"/>
        <v>July</v>
      </c>
    </row>
    <row r="278" spans="1:14" x14ac:dyDescent="0.3">
      <c r="A278" s="2" t="s">
        <v>1684</v>
      </c>
      <c r="B278" t="s">
        <v>117</v>
      </c>
      <c r="C278" s="2" t="s">
        <v>18</v>
      </c>
      <c r="D278" s="2" t="s">
        <v>295</v>
      </c>
      <c r="E278" s="2" t="s">
        <v>54</v>
      </c>
      <c r="F278" s="2" t="s">
        <v>14</v>
      </c>
      <c r="G278" s="3">
        <v>404.6</v>
      </c>
      <c r="H278" s="1" t="s">
        <v>1685</v>
      </c>
      <c r="I278">
        <f t="shared" si="25"/>
        <v>7</v>
      </c>
      <c r="J278" t="str">
        <f t="shared" si="26"/>
        <v>Regular</v>
      </c>
      <c r="K278" t="str">
        <f t="shared" si="27"/>
        <v>Promoted</v>
      </c>
      <c r="L278" t="str">
        <f t="shared" si="28"/>
        <v>Known Employee</v>
      </c>
      <c r="M278">
        <f t="shared" si="30"/>
        <v>3</v>
      </c>
      <c r="N278" t="str">
        <f t="shared" si="29"/>
        <v>July</v>
      </c>
    </row>
    <row r="279" spans="1:14" x14ac:dyDescent="0.3">
      <c r="A279" s="2" t="s">
        <v>1224</v>
      </c>
      <c r="B279" t="s">
        <v>829</v>
      </c>
      <c r="C279" s="2" t="s">
        <v>35</v>
      </c>
      <c r="D279" s="2" t="s">
        <v>440</v>
      </c>
      <c r="E279" s="2" t="s">
        <v>13</v>
      </c>
      <c r="F279" s="2" t="s">
        <v>65</v>
      </c>
      <c r="G279" s="3">
        <v>230</v>
      </c>
      <c r="H279" s="1" t="s">
        <v>1225</v>
      </c>
      <c r="I279">
        <f t="shared" si="25"/>
        <v>7</v>
      </c>
      <c r="J279" t="str">
        <f t="shared" si="26"/>
        <v>Regular</v>
      </c>
      <c r="K279" t="str">
        <f t="shared" si="27"/>
        <v>Promoted</v>
      </c>
      <c r="L279" t="str">
        <f t="shared" si="28"/>
        <v>Known Employee</v>
      </c>
      <c r="M279">
        <f t="shared" si="30"/>
        <v>2</v>
      </c>
      <c r="N279" t="str">
        <f t="shared" si="29"/>
        <v>July</v>
      </c>
    </row>
    <row r="280" spans="1:14" x14ac:dyDescent="0.3">
      <c r="A280" s="2" t="s">
        <v>1695</v>
      </c>
      <c r="B280" t="s">
        <v>520</v>
      </c>
      <c r="C280" s="2" t="s">
        <v>53</v>
      </c>
      <c r="D280" s="2" t="s">
        <v>76</v>
      </c>
      <c r="E280" s="2" t="s">
        <v>13</v>
      </c>
      <c r="F280" s="2" t="s">
        <v>65</v>
      </c>
      <c r="G280" s="3">
        <v>420</v>
      </c>
      <c r="H280" s="1" t="s">
        <v>1696</v>
      </c>
      <c r="I280">
        <f t="shared" si="25"/>
        <v>7</v>
      </c>
      <c r="J280" t="str">
        <f t="shared" si="26"/>
        <v>Regular</v>
      </c>
      <c r="K280" t="str">
        <f t="shared" si="27"/>
        <v>Promoted</v>
      </c>
      <c r="L280" t="str">
        <f t="shared" si="28"/>
        <v>Known Employee</v>
      </c>
      <c r="M280">
        <f t="shared" si="30"/>
        <v>5</v>
      </c>
      <c r="N280" t="str">
        <f t="shared" si="29"/>
        <v>July</v>
      </c>
    </row>
    <row r="281" spans="1:14" x14ac:dyDescent="0.3">
      <c r="A281" s="2" t="s">
        <v>1765</v>
      </c>
      <c r="B281" t="s">
        <v>303</v>
      </c>
      <c r="C281" s="2" t="s">
        <v>29</v>
      </c>
      <c r="D281" s="2" t="s">
        <v>30</v>
      </c>
      <c r="E281" s="2" t="s">
        <v>54</v>
      </c>
      <c r="F281" s="2" t="s">
        <v>65</v>
      </c>
      <c r="G281" s="3">
        <v>429.25</v>
      </c>
      <c r="H281" s="1" t="s">
        <v>1766</v>
      </c>
      <c r="I281">
        <f t="shared" si="25"/>
        <v>7</v>
      </c>
      <c r="J281" t="str">
        <f t="shared" si="26"/>
        <v>Regular</v>
      </c>
      <c r="K281" t="str">
        <f t="shared" si="27"/>
        <v>Promoted</v>
      </c>
      <c r="L281" t="str">
        <f t="shared" si="28"/>
        <v>Known Employee</v>
      </c>
      <c r="M281">
        <f t="shared" si="30"/>
        <v>7</v>
      </c>
      <c r="N281" t="str">
        <f t="shared" si="29"/>
        <v>July</v>
      </c>
    </row>
    <row r="282" spans="1:14" x14ac:dyDescent="0.3">
      <c r="A282" s="2" t="s">
        <v>904</v>
      </c>
      <c r="B282" t="s">
        <v>143</v>
      </c>
      <c r="C282" s="2" t="s">
        <v>29</v>
      </c>
      <c r="D282" s="2" t="s">
        <v>49</v>
      </c>
      <c r="E282" s="2" t="s">
        <v>13</v>
      </c>
      <c r="F282" s="2" t="s">
        <v>65</v>
      </c>
      <c r="G282" s="3">
        <v>350</v>
      </c>
      <c r="H282" s="1" t="s">
        <v>905</v>
      </c>
      <c r="I282">
        <f t="shared" si="25"/>
        <v>7</v>
      </c>
      <c r="J282" t="str">
        <f t="shared" si="26"/>
        <v>Regular</v>
      </c>
      <c r="K282" t="str">
        <f t="shared" si="27"/>
        <v>Promoted</v>
      </c>
      <c r="L282" t="str">
        <f t="shared" si="28"/>
        <v>Known Employee</v>
      </c>
      <c r="M282">
        <f t="shared" si="30"/>
        <v>3</v>
      </c>
      <c r="N282" t="str">
        <f t="shared" si="29"/>
        <v>July</v>
      </c>
    </row>
    <row r="283" spans="1:14" x14ac:dyDescent="0.3">
      <c r="A283" s="2" t="s">
        <v>1243</v>
      </c>
      <c r="B283" t="s">
        <v>210</v>
      </c>
      <c r="C283" s="2" t="s">
        <v>29</v>
      </c>
      <c r="D283" s="2" t="s">
        <v>1245</v>
      </c>
      <c r="E283" s="2" t="s">
        <v>13</v>
      </c>
      <c r="F283" s="2" t="s">
        <v>65</v>
      </c>
      <c r="G283" s="3">
        <v>248</v>
      </c>
      <c r="H283" s="1" t="s">
        <v>1244</v>
      </c>
      <c r="I283">
        <f t="shared" si="25"/>
        <v>7</v>
      </c>
      <c r="J283" t="str">
        <f t="shared" si="26"/>
        <v>Regular</v>
      </c>
      <c r="K283" t="str">
        <f t="shared" si="27"/>
        <v>Promoted</v>
      </c>
      <c r="L283" t="str">
        <f t="shared" si="28"/>
        <v>Known Employee</v>
      </c>
      <c r="M283">
        <f t="shared" si="30"/>
        <v>3</v>
      </c>
      <c r="N283" t="str">
        <f t="shared" si="29"/>
        <v>July</v>
      </c>
    </row>
    <row r="284" spans="1:14" x14ac:dyDescent="0.3">
      <c r="A284" s="2" t="s">
        <v>716</v>
      </c>
      <c r="B284" t="s">
        <v>216</v>
      </c>
      <c r="C284" s="2" t="s">
        <v>18</v>
      </c>
      <c r="D284" s="2" t="s">
        <v>19</v>
      </c>
      <c r="E284" s="2" t="s">
        <v>13</v>
      </c>
      <c r="F284" s="2" t="s">
        <v>65</v>
      </c>
      <c r="G284" s="3">
        <v>290</v>
      </c>
      <c r="H284" s="1" t="s">
        <v>1952</v>
      </c>
      <c r="I284">
        <f t="shared" si="25"/>
        <v>7</v>
      </c>
      <c r="J284" t="str">
        <f t="shared" si="26"/>
        <v>Regular</v>
      </c>
      <c r="K284" t="str">
        <f t="shared" si="27"/>
        <v>Promoted</v>
      </c>
      <c r="L284" t="str">
        <f t="shared" si="28"/>
        <v>Known Employee</v>
      </c>
      <c r="M284">
        <f t="shared" si="30"/>
        <v>3</v>
      </c>
      <c r="N284" t="str">
        <f t="shared" si="29"/>
        <v>July</v>
      </c>
    </row>
    <row r="285" spans="1:14" x14ac:dyDescent="0.3">
      <c r="A285" s="2" t="s">
        <v>642</v>
      </c>
      <c r="B285" t="s">
        <v>644</v>
      </c>
      <c r="C285" s="2" t="s">
        <v>18</v>
      </c>
      <c r="D285" s="2" t="s">
        <v>87</v>
      </c>
      <c r="E285" s="2" t="s">
        <v>13</v>
      </c>
      <c r="F285" s="2" t="s">
        <v>25</v>
      </c>
      <c r="G285" s="3">
        <v>455</v>
      </c>
      <c r="H285" s="1" t="s">
        <v>643</v>
      </c>
      <c r="I285">
        <f t="shared" si="25"/>
        <v>7</v>
      </c>
      <c r="J285" t="str">
        <f t="shared" si="26"/>
        <v>Regular</v>
      </c>
      <c r="K285" t="str">
        <f t="shared" si="27"/>
        <v>Promoted</v>
      </c>
      <c r="L285" t="str">
        <f t="shared" si="28"/>
        <v>Known Employee</v>
      </c>
      <c r="M285">
        <f t="shared" si="30"/>
        <v>5</v>
      </c>
      <c r="N285" t="str">
        <f t="shared" si="29"/>
        <v>July</v>
      </c>
    </row>
    <row r="286" spans="1:14" x14ac:dyDescent="0.3">
      <c r="A286" s="2" t="s">
        <v>628</v>
      </c>
      <c r="B286" t="s">
        <v>161</v>
      </c>
      <c r="C286" s="2" t="s">
        <v>29</v>
      </c>
      <c r="D286" s="2" t="s">
        <v>123</v>
      </c>
      <c r="E286" s="2" t="s">
        <v>13</v>
      </c>
      <c r="F286" s="2" t="s">
        <v>14</v>
      </c>
      <c r="G286" s="3">
        <v>386</v>
      </c>
      <c r="H286" s="1" t="s">
        <v>629</v>
      </c>
      <c r="I286">
        <f t="shared" si="25"/>
        <v>7</v>
      </c>
      <c r="J286" t="str">
        <f t="shared" si="26"/>
        <v>Regular</v>
      </c>
      <c r="K286" t="str">
        <f t="shared" si="27"/>
        <v>Promoted</v>
      </c>
      <c r="L286" t="str">
        <f t="shared" si="28"/>
        <v>Known Employee</v>
      </c>
      <c r="M286">
        <f t="shared" si="30"/>
        <v>4</v>
      </c>
      <c r="N286" t="str">
        <f t="shared" si="29"/>
        <v>July</v>
      </c>
    </row>
    <row r="287" spans="1:14" x14ac:dyDescent="0.3">
      <c r="A287" s="2" t="s">
        <v>1143</v>
      </c>
      <c r="B287" t="s">
        <v>874</v>
      </c>
      <c r="C287" s="2" t="s">
        <v>29</v>
      </c>
      <c r="D287" s="2" t="s">
        <v>168</v>
      </c>
      <c r="E287" s="2" t="s">
        <v>13</v>
      </c>
      <c r="F287" s="2" t="s">
        <v>65</v>
      </c>
      <c r="G287" s="3">
        <v>266</v>
      </c>
      <c r="H287" s="1" t="s">
        <v>1144</v>
      </c>
      <c r="I287">
        <f t="shared" si="25"/>
        <v>7</v>
      </c>
      <c r="J287" t="str">
        <f t="shared" si="26"/>
        <v>Regular</v>
      </c>
      <c r="K287" t="str">
        <f t="shared" si="27"/>
        <v>Promoted</v>
      </c>
      <c r="L287" t="str">
        <f t="shared" si="28"/>
        <v>Known Employee</v>
      </c>
      <c r="M287">
        <f t="shared" si="30"/>
        <v>3</v>
      </c>
      <c r="N287" t="str">
        <f t="shared" si="29"/>
        <v>July</v>
      </c>
    </row>
    <row r="288" spans="1:14" x14ac:dyDescent="0.3">
      <c r="A288" s="2" t="s">
        <v>778</v>
      </c>
      <c r="B288" t="s">
        <v>264</v>
      </c>
      <c r="C288" s="2" t="s">
        <v>35</v>
      </c>
      <c r="D288" s="2" t="s">
        <v>72</v>
      </c>
      <c r="E288" s="2" t="s">
        <v>13</v>
      </c>
      <c r="F288" s="2" t="s">
        <v>40</v>
      </c>
      <c r="G288" s="3">
        <v>55</v>
      </c>
      <c r="H288" s="1" t="s">
        <v>612</v>
      </c>
      <c r="I288">
        <f t="shared" si="25"/>
        <v>7</v>
      </c>
      <c r="J288" t="str">
        <f t="shared" si="26"/>
        <v>Regular</v>
      </c>
      <c r="K288" t="str">
        <f t="shared" si="27"/>
        <v>Promoted</v>
      </c>
      <c r="L288" t="str">
        <f t="shared" si="28"/>
        <v>Known Employee</v>
      </c>
      <c r="M288">
        <f t="shared" si="30"/>
        <v>6</v>
      </c>
      <c r="N288" t="str">
        <f t="shared" si="29"/>
        <v>July</v>
      </c>
    </row>
    <row r="289" spans="1:14" x14ac:dyDescent="0.3">
      <c r="A289" s="2" t="s">
        <v>611</v>
      </c>
      <c r="B289" t="s">
        <v>597</v>
      </c>
      <c r="C289" s="2" t="s">
        <v>53</v>
      </c>
      <c r="D289" s="2" t="s">
        <v>104</v>
      </c>
      <c r="E289" s="2" t="s">
        <v>24</v>
      </c>
      <c r="F289" s="2" t="s">
        <v>25</v>
      </c>
      <c r="G289" s="3">
        <v>104.4</v>
      </c>
      <c r="H289" s="1" t="s">
        <v>612</v>
      </c>
      <c r="I289">
        <f t="shared" si="25"/>
        <v>7</v>
      </c>
      <c r="J289" t="str">
        <f t="shared" si="26"/>
        <v>Regular</v>
      </c>
      <c r="K289" t="str">
        <f t="shared" si="27"/>
        <v>Promoted</v>
      </c>
      <c r="L289" t="str">
        <f t="shared" si="28"/>
        <v>Known Employee</v>
      </c>
      <c r="M289">
        <f t="shared" si="30"/>
        <v>2</v>
      </c>
      <c r="N289" t="str">
        <f t="shared" si="29"/>
        <v>July</v>
      </c>
    </row>
    <row r="290" spans="1:14" x14ac:dyDescent="0.3">
      <c r="A290" s="2" t="s">
        <v>815</v>
      </c>
      <c r="B290" t="s">
        <v>400</v>
      </c>
      <c r="C290" s="2" t="s">
        <v>35</v>
      </c>
      <c r="D290" s="2" t="s">
        <v>36</v>
      </c>
      <c r="E290" s="2" t="s">
        <v>13</v>
      </c>
      <c r="F290" s="2" t="s">
        <v>40</v>
      </c>
      <c r="G290" s="3">
        <v>543</v>
      </c>
      <c r="H290" s="1" t="s">
        <v>612</v>
      </c>
      <c r="I290">
        <f t="shared" si="25"/>
        <v>7</v>
      </c>
      <c r="J290" t="str">
        <f t="shared" si="26"/>
        <v>Regular</v>
      </c>
      <c r="K290" t="str">
        <f t="shared" si="27"/>
        <v>Promoted</v>
      </c>
      <c r="L290" t="str">
        <f t="shared" si="28"/>
        <v>Known Employee</v>
      </c>
      <c r="M290">
        <f t="shared" si="30"/>
        <v>5</v>
      </c>
      <c r="N290" t="str">
        <f t="shared" si="29"/>
        <v>July</v>
      </c>
    </row>
    <row r="291" spans="1:14" x14ac:dyDescent="0.3">
      <c r="A291" s="2" t="s">
        <v>194</v>
      </c>
      <c r="B291" t="s">
        <v>196</v>
      </c>
      <c r="C291" s="2" t="s">
        <v>53</v>
      </c>
      <c r="D291" s="2" t="s">
        <v>76</v>
      </c>
      <c r="E291" s="2" t="s">
        <v>13</v>
      </c>
      <c r="F291" s="2" t="s">
        <v>119</v>
      </c>
      <c r="G291" s="3">
        <v>675</v>
      </c>
      <c r="H291" s="1" t="s">
        <v>195</v>
      </c>
      <c r="I291">
        <f t="shared" si="25"/>
        <v>7</v>
      </c>
      <c r="J291" t="str">
        <f t="shared" si="26"/>
        <v>Regular</v>
      </c>
      <c r="K291" t="str">
        <f t="shared" si="27"/>
        <v>Promoted</v>
      </c>
      <c r="L291" t="str">
        <f t="shared" si="28"/>
        <v>Known Employee</v>
      </c>
      <c r="M291">
        <f t="shared" si="30"/>
        <v>8</v>
      </c>
      <c r="N291" t="str">
        <f t="shared" si="29"/>
        <v>July</v>
      </c>
    </row>
    <row r="292" spans="1:14" x14ac:dyDescent="0.3">
      <c r="A292" s="2" t="s">
        <v>1618</v>
      </c>
      <c r="B292" t="s">
        <v>167</v>
      </c>
      <c r="C292" s="2" t="s">
        <v>18</v>
      </c>
      <c r="D292" s="2" t="s">
        <v>19</v>
      </c>
      <c r="E292" s="2" t="s">
        <v>13</v>
      </c>
      <c r="F292" s="2" t="s">
        <v>14</v>
      </c>
      <c r="G292" s="3">
        <v>370</v>
      </c>
      <c r="H292" s="1" t="s">
        <v>1967</v>
      </c>
      <c r="I292">
        <f t="shared" si="25"/>
        <v>7</v>
      </c>
      <c r="J292" t="str">
        <f t="shared" si="26"/>
        <v>Regular</v>
      </c>
      <c r="K292" t="str">
        <f t="shared" si="27"/>
        <v>Promoted</v>
      </c>
      <c r="L292" t="str">
        <f t="shared" si="28"/>
        <v>Known Employee</v>
      </c>
      <c r="M292">
        <f t="shared" si="30"/>
        <v>3</v>
      </c>
      <c r="N292" t="str">
        <f t="shared" si="29"/>
        <v>July</v>
      </c>
    </row>
    <row r="293" spans="1:14" x14ac:dyDescent="0.3">
      <c r="A293" s="2" t="s">
        <v>1630</v>
      </c>
      <c r="B293" t="s">
        <v>242</v>
      </c>
      <c r="C293" s="2" t="s">
        <v>29</v>
      </c>
      <c r="D293" s="2" t="s">
        <v>123</v>
      </c>
      <c r="E293" s="2" t="s">
        <v>13</v>
      </c>
      <c r="F293" s="2" t="s">
        <v>14</v>
      </c>
      <c r="G293" s="3">
        <v>118</v>
      </c>
      <c r="H293" s="1" t="s">
        <v>1631</v>
      </c>
      <c r="I293">
        <f t="shared" si="25"/>
        <v>8</v>
      </c>
      <c r="J293" t="str">
        <f t="shared" si="26"/>
        <v>Rakshabandhan</v>
      </c>
      <c r="K293" t="str">
        <f t="shared" si="27"/>
        <v>Promoted</v>
      </c>
      <c r="L293" t="str">
        <f t="shared" si="28"/>
        <v>Known Employee</v>
      </c>
      <c r="M293">
        <f t="shared" si="30"/>
        <v>1</v>
      </c>
      <c r="N293" t="str">
        <f t="shared" si="29"/>
        <v>August</v>
      </c>
    </row>
    <row r="294" spans="1:14" x14ac:dyDescent="0.3">
      <c r="A294" s="2" t="s">
        <v>256</v>
      </c>
      <c r="B294" t="s">
        <v>258</v>
      </c>
      <c r="C294" s="2" t="s">
        <v>53</v>
      </c>
      <c r="D294" s="2" t="s">
        <v>83</v>
      </c>
      <c r="E294" s="2" t="s">
        <v>13</v>
      </c>
      <c r="F294" s="2" t="s">
        <v>14</v>
      </c>
      <c r="G294" s="3">
        <v>455</v>
      </c>
      <c r="H294" s="1" t="s">
        <v>257</v>
      </c>
      <c r="I294">
        <f t="shared" si="25"/>
        <v>8</v>
      </c>
      <c r="J294" t="str">
        <f t="shared" si="26"/>
        <v>Rakshabandhan</v>
      </c>
      <c r="K294" t="str">
        <f t="shared" si="27"/>
        <v>Promoted</v>
      </c>
      <c r="L294" t="str">
        <f t="shared" si="28"/>
        <v>Known Employee</v>
      </c>
      <c r="M294">
        <f t="shared" si="30"/>
        <v>8</v>
      </c>
      <c r="N294" t="str">
        <f t="shared" si="29"/>
        <v>August</v>
      </c>
    </row>
    <row r="295" spans="1:14" x14ac:dyDescent="0.3">
      <c r="A295" s="2" t="s">
        <v>1034</v>
      </c>
      <c r="B295" t="s">
        <v>700</v>
      </c>
      <c r="C295" s="2" t="s">
        <v>35</v>
      </c>
      <c r="D295" s="2" t="s">
        <v>140</v>
      </c>
      <c r="E295" s="2" t="s">
        <v>1946</v>
      </c>
      <c r="F295" s="2" t="s">
        <v>14</v>
      </c>
      <c r="G295" s="3">
        <v>80</v>
      </c>
      <c r="H295" s="1" t="s">
        <v>1035</v>
      </c>
      <c r="I295">
        <f t="shared" si="25"/>
        <v>8</v>
      </c>
      <c r="J295" t="str">
        <f t="shared" si="26"/>
        <v>Rakshabandhan</v>
      </c>
      <c r="K295" t="str">
        <f t="shared" si="27"/>
        <v>Not Promoted</v>
      </c>
      <c r="L295" t="str">
        <f t="shared" si="28"/>
        <v>Known Employee</v>
      </c>
      <c r="M295">
        <f t="shared" si="30"/>
        <v>3</v>
      </c>
      <c r="N295" t="str">
        <f t="shared" si="29"/>
        <v>August</v>
      </c>
    </row>
    <row r="296" spans="1:14" x14ac:dyDescent="0.3">
      <c r="A296" s="2" t="s">
        <v>1806</v>
      </c>
      <c r="B296" t="s">
        <v>1070</v>
      </c>
      <c r="C296" s="2" t="s">
        <v>35</v>
      </c>
      <c r="D296" s="2" t="s">
        <v>36</v>
      </c>
      <c r="E296" s="2" t="s">
        <v>13</v>
      </c>
      <c r="F296" s="2" t="s">
        <v>65</v>
      </c>
      <c r="G296" s="3">
        <v>415</v>
      </c>
      <c r="H296" s="1" t="s">
        <v>1035</v>
      </c>
      <c r="I296">
        <f t="shared" si="25"/>
        <v>8</v>
      </c>
      <c r="J296" t="str">
        <f t="shared" si="26"/>
        <v>Rakshabandhan</v>
      </c>
      <c r="K296" t="str">
        <f t="shared" si="27"/>
        <v>Promoted</v>
      </c>
      <c r="L296" t="str">
        <f t="shared" si="28"/>
        <v>Known Employee</v>
      </c>
      <c r="M296">
        <f t="shared" si="30"/>
        <v>5</v>
      </c>
      <c r="N296" t="str">
        <f t="shared" si="29"/>
        <v>August</v>
      </c>
    </row>
    <row r="297" spans="1:14" x14ac:dyDescent="0.3">
      <c r="A297" s="2" t="s">
        <v>971</v>
      </c>
      <c r="B297" t="s">
        <v>953</v>
      </c>
      <c r="C297" s="2" t="s">
        <v>35</v>
      </c>
      <c r="D297" s="2" t="s">
        <v>72</v>
      </c>
      <c r="E297" s="2" t="s">
        <v>13</v>
      </c>
      <c r="F297" s="2" t="s">
        <v>65</v>
      </c>
      <c r="G297" s="3">
        <v>195</v>
      </c>
      <c r="H297" s="1" t="s">
        <v>972</v>
      </c>
      <c r="I297">
        <f t="shared" si="25"/>
        <v>8</v>
      </c>
      <c r="J297" t="str">
        <f t="shared" si="26"/>
        <v>Rakshabandhan</v>
      </c>
      <c r="K297" t="str">
        <f t="shared" si="27"/>
        <v>Promoted</v>
      </c>
      <c r="L297" t="str">
        <f t="shared" si="28"/>
        <v>Known Employee</v>
      </c>
      <c r="M297">
        <f t="shared" si="30"/>
        <v>2</v>
      </c>
      <c r="N297" t="str">
        <f t="shared" si="29"/>
        <v>August</v>
      </c>
    </row>
    <row r="298" spans="1:14" x14ac:dyDescent="0.3">
      <c r="A298" s="2" t="s">
        <v>585</v>
      </c>
      <c r="B298" t="s">
        <v>587</v>
      </c>
      <c r="C298" s="2" t="s">
        <v>35</v>
      </c>
      <c r="D298" s="2" t="s">
        <v>140</v>
      </c>
      <c r="E298" s="2" t="s">
        <v>24</v>
      </c>
      <c r="F298" s="2" t="s">
        <v>40</v>
      </c>
      <c r="G298" s="3">
        <v>544.5</v>
      </c>
      <c r="H298" s="1" t="s">
        <v>586</v>
      </c>
      <c r="I298">
        <f t="shared" si="25"/>
        <v>8</v>
      </c>
      <c r="J298" t="str">
        <f t="shared" si="26"/>
        <v>Rakshabandhan</v>
      </c>
      <c r="K298" t="str">
        <f t="shared" si="27"/>
        <v>Promoted</v>
      </c>
      <c r="L298" t="str">
        <f t="shared" si="28"/>
        <v>Known Employee</v>
      </c>
      <c r="M298">
        <f t="shared" si="30"/>
        <v>4</v>
      </c>
      <c r="N298" t="str">
        <f t="shared" si="29"/>
        <v>August</v>
      </c>
    </row>
    <row r="299" spans="1:14" x14ac:dyDescent="0.3">
      <c r="A299" s="2" t="s">
        <v>1135</v>
      </c>
      <c r="B299" t="s">
        <v>851</v>
      </c>
      <c r="C299" s="2" t="s">
        <v>18</v>
      </c>
      <c r="D299" s="2" t="s">
        <v>295</v>
      </c>
      <c r="E299" s="2" t="s">
        <v>13</v>
      </c>
      <c r="F299" s="2" t="s">
        <v>40</v>
      </c>
      <c r="G299" s="3">
        <v>440</v>
      </c>
      <c r="H299" s="1" t="s">
        <v>1136</v>
      </c>
      <c r="I299">
        <f t="shared" si="25"/>
        <v>8</v>
      </c>
      <c r="J299" t="str">
        <f t="shared" si="26"/>
        <v>Rakshabandhan</v>
      </c>
      <c r="K299" t="str">
        <f t="shared" si="27"/>
        <v>Promoted</v>
      </c>
      <c r="L299" t="str">
        <f t="shared" si="28"/>
        <v>Known Employee</v>
      </c>
      <c r="M299">
        <f t="shared" si="30"/>
        <v>6</v>
      </c>
      <c r="N299" t="str">
        <f t="shared" si="29"/>
        <v>August</v>
      </c>
    </row>
    <row r="300" spans="1:14" x14ac:dyDescent="0.3">
      <c r="A300" s="2" t="s">
        <v>41</v>
      </c>
      <c r="B300" t="s">
        <v>43</v>
      </c>
      <c r="C300" s="2" t="s">
        <v>35</v>
      </c>
      <c r="D300" s="2" t="s">
        <v>44</v>
      </c>
      <c r="E300" s="2" t="s">
        <v>13</v>
      </c>
      <c r="F300" s="2" t="s">
        <v>1945</v>
      </c>
      <c r="G300" s="3">
        <v>260</v>
      </c>
      <c r="H300" s="1" t="s">
        <v>42</v>
      </c>
      <c r="I300">
        <f t="shared" si="25"/>
        <v>8</v>
      </c>
      <c r="J300" t="str">
        <f t="shared" si="26"/>
        <v>Rakshabandhan</v>
      </c>
      <c r="K300" t="str">
        <f t="shared" si="27"/>
        <v>Promoted</v>
      </c>
      <c r="L300" t="str">
        <f t="shared" si="28"/>
        <v>Known Employee</v>
      </c>
      <c r="M300">
        <f t="shared" si="30"/>
        <v>3</v>
      </c>
      <c r="N300" t="str">
        <f t="shared" si="29"/>
        <v>August</v>
      </c>
    </row>
    <row r="301" spans="1:14" x14ac:dyDescent="0.3">
      <c r="A301" s="2" t="s">
        <v>1011</v>
      </c>
      <c r="B301" t="s">
        <v>798</v>
      </c>
      <c r="C301" s="2" t="s">
        <v>18</v>
      </c>
      <c r="D301" s="2" t="s">
        <v>295</v>
      </c>
      <c r="E301" s="2" t="s">
        <v>24</v>
      </c>
      <c r="F301" s="2" t="s">
        <v>1945</v>
      </c>
      <c r="G301" s="3">
        <v>215.1</v>
      </c>
      <c r="H301" s="1" t="s">
        <v>1012</v>
      </c>
      <c r="I301">
        <f t="shared" si="25"/>
        <v>8</v>
      </c>
      <c r="J301" t="str">
        <f t="shared" si="26"/>
        <v>Rakshabandhan</v>
      </c>
      <c r="K301" t="str">
        <f t="shared" si="27"/>
        <v>Promoted</v>
      </c>
      <c r="L301" t="str">
        <f t="shared" si="28"/>
        <v>Known Employee</v>
      </c>
      <c r="M301">
        <f t="shared" si="30"/>
        <v>6</v>
      </c>
      <c r="N301" t="str">
        <f t="shared" si="29"/>
        <v>August</v>
      </c>
    </row>
    <row r="302" spans="1:14" x14ac:dyDescent="0.3">
      <c r="A302" s="2" t="s">
        <v>374</v>
      </c>
      <c r="B302" t="s">
        <v>376</v>
      </c>
      <c r="C302" s="2" t="s">
        <v>29</v>
      </c>
      <c r="D302" s="2" t="s">
        <v>49</v>
      </c>
      <c r="E302" s="2" t="s">
        <v>13</v>
      </c>
      <c r="F302" s="2" t="s">
        <v>65</v>
      </c>
      <c r="G302" s="3">
        <v>531</v>
      </c>
      <c r="H302" s="1" t="s">
        <v>375</v>
      </c>
      <c r="I302">
        <f t="shared" si="25"/>
        <v>8</v>
      </c>
      <c r="J302" t="str">
        <f t="shared" si="26"/>
        <v>Rakshabandhan</v>
      </c>
      <c r="K302" t="str">
        <f t="shared" si="27"/>
        <v>Promoted</v>
      </c>
      <c r="L302" t="str">
        <f t="shared" si="28"/>
        <v>Known Employee</v>
      </c>
      <c r="M302">
        <f t="shared" si="30"/>
        <v>3</v>
      </c>
      <c r="N302" t="str">
        <f t="shared" si="29"/>
        <v>August</v>
      </c>
    </row>
    <row r="303" spans="1:14" x14ac:dyDescent="0.3">
      <c r="A303" s="2" t="s">
        <v>1280</v>
      </c>
      <c r="B303" t="s">
        <v>968</v>
      </c>
      <c r="C303" s="2" t="s">
        <v>35</v>
      </c>
      <c r="D303" s="2" t="s">
        <v>340</v>
      </c>
      <c r="E303" s="2" t="s">
        <v>54</v>
      </c>
      <c r="F303" s="2" t="s">
        <v>40</v>
      </c>
      <c r="G303" s="3">
        <v>469.2</v>
      </c>
      <c r="H303" s="1" t="s">
        <v>1281</v>
      </c>
      <c r="I303">
        <f t="shared" si="25"/>
        <v>8</v>
      </c>
      <c r="J303" t="str">
        <f t="shared" si="26"/>
        <v>Rakshabandhan</v>
      </c>
      <c r="K303" t="str">
        <f t="shared" si="27"/>
        <v>Promoted</v>
      </c>
      <c r="L303" t="str">
        <f t="shared" si="28"/>
        <v>Known Employee</v>
      </c>
      <c r="M303">
        <f t="shared" si="30"/>
        <v>3</v>
      </c>
      <c r="N303" t="str">
        <f t="shared" si="29"/>
        <v>August</v>
      </c>
    </row>
    <row r="304" spans="1:14" x14ac:dyDescent="0.3">
      <c r="A304" s="2" t="s">
        <v>1454</v>
      </c>
      <c r="B304" t="s">
        <v>93</v>
      </c>
      <c r="C304" s="2" t="s">
        <v>53</v>
      </c>
      <c r="D304" s="2" t="s">
        <v>138</v>
      </c>
      <c r="E304" s="2" t="s">
        <v>13</v>
      </c>
      <c r="F304" s="2" t="s">
        <v>25</v>
      </c>
      <c r="G304" s="3">
        <v>70</v>
      </c>
      <c r="H304" s="1" t="s">
        <v>1281</v>
      </c>
      <c r="I304">
        <f t="shared" si="25"/>
        <v>8</v>
      </c>
      <c r="J304" t="str">
        <f t="shared" si="26"/>
        <v>Rakshabandhan</v>
      </c>
      <c r="K304" t="str">
        <f t="shared" si="27"/>
        <v>Promoted</v>
      </c>
      <c r="L304" t="str">
        <f t="shared" si="28"/>
        <v>Known Employee</v>
      </c>
      <c r="M304">
        <f t="shared" si="30"/>
        <v>5</v>
      </c>
      <c r="N304" t="str">
        <f t="shared" si="29"/>
        <v>August</v>
      </c>
    </row>
    <row r="305" spans="1:14" x14ac:dyDescent="0.3">
      <c r="A305" s="2" t="s">
        <v>551</v>
      </c>
      <c r="B305" t="s">
        <v>482</v>
      </c>
      <c r="C305" s="2" t="s">
        <v>53</v>
      </c>
      <c r="D305" s="2" t="s">
        <v>118</v>
      </c>
      <c r="E305" s="2" t="s">
        <v>13</v>
      </c>
      <c r="F305" s="2" t="s">
        <v>65</v>
      </c>
      <c r="G305" s="3">
        <v>140</v>
      </c>
      <c r="H305" s="1" t="s">
        <v>552</v>
      </c>
      <c r="I305">
        <f t="shared" si="25"/>
        <v>9</v>
      </c>
      <c r="J305" t="str">
        <f t="shared" si="26"/>
        <v>Navratri</v>
      </c>
      <c r="K305" t="str">
        <f t="shared" si="27"/>
        <v>Promoted</v>
      </c>
      <c r="L305" t="str">
        <f t="shared" si="28"/>
        <v>Known Employee</v>
      </c>
      <c r="M305">
        <f t="shared" si="30"/>
        <v>3</v>
      </c>
      <c r="N305" t="str">
        <f t="shared" si="29"/>
        <v>September</v>
      </c>
    </row>
    <row r="306" spans="1:14" x14ac:dyDescent="0.3">
      <c r="A306" s="2" t="s">
        <v>1213</v>
      </c>
      <c r="B306" t="s">
        <v>710</v>
      </c>
      <c r="C306" s="2" t="s">
        <v>53</v>
      </c>
      <c r="D306" s="2" t="s">
        <v>531</v>
      </c>
      <c r="E306" s="2" t="s">
        <v>1946</v>
      </c>
      <c r="F306" s="2" t="s">
        <v>65</v>
      </c>
      <c r="G306" s="3">
        <v>47.5</v>
      </c>
      <c r="H306" s="1" t="s">
        <v>1214</v>
      </c>
      <c r="I306">
        <f t="shared" si="25"/>
        <v>9</v>
      </c>
      <c r="J306" t="str">
        <f t="shared" si="26"/>
        <v>Navratri</v>
      </c>
      <c r="K306" t="str">
        <f t="shared" si="27"/>
        <v>Not Promoted</v>
      </c>
      <c r="L306" t="str">
        <f t="shared" si="28"/>
        <v>Known Employee</v>
      </c>
      <c r="M306">
        <f t="shared" si="30"/>
        <v>5</v>
      </c>
      <c r="N306" t="str">
        <f t="shared" si="29"/>
        <v>September</v>
      </c>
    </row>
    <row r="307" spans="1:14" x14ac:dyDescent="0.3">
      <c r="A307" s="2" t="s">
        <v>1429</v>
      </c>
      <c r="B307" t="s">
        <v>1431</v>
      </c>
      <c r="C307" s="2" t="s">
        <v>29</v>
      </c>
      <c r="D307" s="2" t="s">
        <v>200</v>
      </c>
      <c r="E307" s="2" t="s">
        <v>24</v>
      </c>
      <c r="F307" s="2" t="s">
        <v>65</v>
      </c>
      <c r="G307" s="3">
        <v>106.2</v>
      </c>
      <c r="H307" s="1" t="s">
        <v>1430</v>
      </c>
      <c r="I307">
        <f t="shared" si="25"/>
        <v>9</v>
      </c>
      <c r="J307" t="str">
        <f t="shared" si="26"/>
        <v>Navratri</v>
      </c>
      <c r="K307" t="str">
        <f t="shared" si="27"/>
        <v>Promoted</v>
      </c>
      <c r="L307" t="str">
        <f t="shared" si="28"/>
        <v>Known Employee</v>
      </c>
      <c r="M307">
        <f t="shared" si="30"/>
        <v>1</v>
      </c>
      <c r="N307" t="str">
        <f t="shared" si="29"/>
        <v>September</v>
      </c>
    </row>
    <row r="308" spans="1:14" x14ac:dyDescent="0.3">
      <c r="A308" s="2" t="s">
        <v>1055</v>
      </c>
      <c r="B308" t="s">
        <v>851</v>
      </c>
      <c r="C308" s="2" t="s">
        <v>29</v>
      </c>
      <c r="D308" s="2" t="s">
        <v>168</v>
      </c>
      <c r="E308" s="2" t="s">
        <v>1946</v>
      </c>
      <c r="F308" s="2" t="s">
        <v>40</v>
      </c>
      <c r="G308" s="3">
        <v>633</v>
      </c>
      <c r="H308" s="1" t="s">
        <v>1056</v>
      </c>
      <c r="I308">
        <f t="shared" si="25"/>
        <v>9</v>
      </c>
      <c r="J308" t="str">
        <f t="shared" si="26"/>
        <v>Navratri</v>
      </c>
      <c r="K308" t="str">
        <f t="shared" si="27"/>
        <v>Not Promoted</v>
      </c>
      <c r="L308" t="str">
        <f t="shared" si="28"/>
        <v>Known Employee</v>
      </c>
      <c r="M308">
        <f t="shared" si="30"/>
        <v>6</v>
      </c>
      <c r="N308" t="str">
        <f t="shared" si="29"/>
        <v>September</v>
      </c>
    </row>
    <row r="309" spans="1:14" x14ac:dyDescent="0.3">
      <c r="A309" s="2" t="s">
        <v>1614</v>
      </c>
      <c r="B309" t="s">
        <v>114</v>
      </c>
      <c r="C309" s="2" t="s">
        <v>35</v>
      </c>
      <c r="D309" s="2" t="s">
        <v>340</v>
      </c>
      <c r="E309" s="2" t="s">
        <v>13</v>
      </c>
      <c r="F309" s="2" t="s">
        <v>40</v>
      </c>
      <c r="G309" s="3">
        <v>334</v>
      </c>
      <c r="H309" s="1" t="s">
        <v>1615</v>
      </c>
      <c r="I309">
        <f t="shared" si="25"/>
        <v>9</v>
      </c>
      <c r="J309" t="str">
        <f t="shared" si="26"/>
        <v>Navratri</v>
      </c>
      <c r="K309" t="str">
        <f t="shared" si="27"/>
        <v>Promoted</v>
      </c>
      <c r="L309" t="str">
        <f t="shared" si="28"/>
        <v>Known Employee</v>
      </c>
      <c r="M309">
        <f t="shared" si="30"/>
        <v>3</v>
      </c>
      <c r="N309" t="str">
        <f t="shared" si="29"/>
        <v>September</v>
      </c>
    </row>
    <row r="310" spans="1:14" x14ac:dyDescent="0.3">
      <c r="A310" s="2" t="s">
        <v>269</v>
      </c>
      <c r="B310" t="s">
        <v>34</v>
      </c>
      <c r="C310" s="2" t="s">
        <v>35</v>
      </c>
      <c r="D310" s="2" t="s">
        <v>140</v>
      </c>
      <c r="E310" s="2" t="s">
        <v>24</v>
      </c>
      <c r="F310" s="2" t="s">
        <v>14</v>
      </c>
      <c r="G310" s="3">
        <v>273.60000000000002</v>
      </c>
      <c r="H310" s="1" t="s">
        <v>270</v>
      </c>
      <c r="I310">
        <f t="shared" si="25"/>
        <v>9</v>
      </c>
      <c r="J310" t="str">
        <f t="shared" si="26"/>
        <v>Navratri</v>
      </c>
      <c r="K310" t="str">
        <f t="shared" si="27"/>
        <v>Promoted</v>
      </c>
      <c r="L310" t="str">
        <f t="shared" si="28"/>
        <v>Known Employee</v>
      </c>
      <c r="M310">
        <f t="shared" si="30"/>
        <v>4</v>
      </c>
      <c r="N310" t="str">
        <f t="shared" si="29"/>
        <v>September</v>
      </c>
    </row>
    <row r="311" spans="1:14" x14ac:dyDescent="0.3">
      <c r="A311" s="2" t="s">
        <v>873</v>
      </c>
      <c r="B311" t="s">
        <v>874</v>
      </c>
      <c r="C311" s="2" t="s">
        <v>29</v>
      </c>
      <c r="D311" s="2" t="s">
        <v>200</v>
      </c>
      <c r="E311" s="2" t="s">
        <v>13</v>
      </c>
      <c r="F311" s="2" t="s">
        <v>14</v>
      </c>
      <c r="G311" s="3">
        <v>280</v>
      </c>
      <c r="H311" s="1" t="s">
        <v>619</v>
      </c>
      <c r="I311">
        <f t="shared" si="25"/>
        <v>9</v>
      </c>
      <c r="J311" t="str">
        <f t="shared" si="26"/>
        <v>Navratri</v>
      </c>
      <c r="K311" t="str">
        <f t="shared" si="27"/>
        <v>Promoted</v>
      </c>
      <c r="L311" t="str">
        <f t="shared" si="28"/>
        <v>Known Employee</v>
      </c>
      <c r="M311">
        <f t="shared" si="30"/>
        <v>3</v>
      </c>
      <c r="N311" t="str">
        <f t="shared" si="29"/>
        <v>September</v>
      </c>
    </row>
    <row r="312" spans="1:14" x14ac:dyDescent="0.3">
      <c r="A312" s="2" t="s">
        <v>1588</v>
      </c>
      <c r="B312" t="s">
        <v>183</v>
      </c>
      <c r="C312" s="2" t="s">
        <v>35</v>
      </c>
      <c r="D312" s="2" t="s">
        <v>72</v>
      </c>
      <c r="E312" s="2" t="s">
        <v>54</v>
      </c>
      <c r="F312" s="2" t="s">
        <v>65</v>
      </c>
      <c r="G312" s="3">
        <v>153</v>
      </c>
      <c r="H312" s="1" t="s">
        <v>619</v>
      </c>
      <c r="I312">
        <f t="shared" si="25"/>
        <v>9</v>
      </c>
      <c r="J312" t="str">
        <f t="shared" si="26"/>
        <v>Navratri</v>
      </c>
      <c r="K312" t="str">
        <f t="shared" si="27"/>
        <v>Promoted</v>
      </c>
      <c r="L312" t="str">
        <f t="shared" si="28"/>
        <v>Known Employee</v>
      </c>
      <c r="M312">
        <f t="shared" si="30"/>
        <v>6</v>
      </c>
      <c r="N312" t="str">
        <f t="shared" si="29"/>
        <v>September</v>
      </c>
    </row>
    <row r="313" spans="1:14" x14ac:dyDescent="0.3">
      <c r="A313" s="2" t="s">
        <v>618</v>
      </c>
      <c r="B313" t="s">
        <v>620</v>
      </c>
      <c r="C313" s="2" t="s">
        <v>53</v>
      </c>
      <c r="D313" s="2" t="s">
        <v>76</v>
      </c>
      <c r="E313" s="2" t="s">
        <v>24</v>
      </c>
      <c r="F313" s="2" t="s">
        <v>14</v>
      </c>
      <c r="G313" s="3">
        <v>385.2</v>
      </c>
      <c r="H313" s="1" t="s">
        <v>619</v>
      </c>
      <c r="I313">
        <f t="shared" si="25"/>
        <v>9</v>
      </c>
      <c r="J313" t="str">
        <f t="shared" si="26"/>
        <v>Navratri</v>
      </c>
      <c r="K313" t="str">
        <f t="shared" si="27"/>
        <v>Promoted</v>
      </c>
      <c r="L313" t="str">
        <f t="shared" si="28"/>
        <v>Known Employee</v>
      </c>
      <c r="M313">
        <f t="shared" si="30"/>
        <v>4</v>
      </c>
      <c r="N313" t="str">
        <f t="shared" si="29"/>
        <v>September</v>
      </c>
    </row>
    <row r="314" spans="1:14" x14ac:dyDescent="0.3">
      <c r="A314" s="2" t="s">
        <v>1067</v>
      </c>
      <c r="B314" t="s">
        <v>901</v>
      </c>
      <c r="C314" s="2" t="s">
        <v>18</v>
      </c>
      <c r="D314" s="2" t="s">
        <v>23</v>
      </c>
      <c r="E314" s="2" t="s">
        <v>24</v>
      </c>
      <c r="F314" s="2" t="s">
        <v>1945</v>
      </c>
      <c r="G314" s="3">
        <v>122.4</v>
      </c>
      <c r="H314" s="1" t="s">
        <v>1956</v>
      </c>
      <c r="I314">
        <f t="shared" si="25"/>
        <v>9</v>
      </c>
      <c r="J314" t="str">
        <f t="shared" si="26"/>
        <v>Navratri</v>
      </c>
      <c r="K314" t="str">
        <f t="shared" si="27"/>
        <v>Promoted</v>
      </c>
      <c r="L314" t="str">
        <f t="shared" si="28"/>
        <v>Known Employee</v>
      </c>
      <c r="M314">
        <f t="shared" si="30"/>
        <v>4</v>
      </c>
      <c r="N314" t="str">
        <f t="shared" si="29"/>
        <v>September</v>
      </c>
    </row>
    <row r="315" spans="1:14" x14ac:dyDescent="0.3">
      <c r="A315" s="2" t="s">
        <v>1676</v>
      </c>
      <c r="B315" t="s">
        <v>1254</v>
      </c>
      <c r="C315" s="2" t="s">
        <v>29</v>
      </c>
      <c r="D315" s="2" t="s">
        <v>200</v>
      </c>
      <c r="E315" s="2" t="s">
        <v>13</v>
      </c>
      <c r="F315" s="2" t="s">
        <v>144</v>
      </c>
      <c r="G315" s="3">
        <v>588</v>
      </c>
      <c r="H315" s="1" t="s">
        <v>1677</v>
      </c>
      <c r="I315">
        <f t="shared" si="25"/>
        <v>9</v>
      </c>
      <c r="J315" t="str">
        <f t="shared" si="26"/>
        <v>Navratri</v>
      </c>
      <c r="K315" t="str">
        <f t="shared" si="27"/>
        <v>Promoted</v>
      </c>
      <c r="L315" t="str">
        <f t="shared" si="28"/>
        <v>Known Employee</v>
      </c>
      <c r="M315">
        <f t="shared" si="30"/>
        <v>2</v>
      </c>
      <c r="N315" t="str">
        <f t="shared" si="29"/>
        <v>September</v>
      </c>
    </row>
    <row r="316" spans="1:14" x14ac:dyDescent="0.3">
      <c r="A316" s="2" t="s">
        <v>1730</v>
      </c>
      <c r="B316" t="s">
        <v>425</v>
      </c>
      <c r="C316" s="2" t="s">
        <v>18</v>
      </c>
      <c r="D316" s="2" t="s">
        <v>1945</v>
      </c>
      <c r="E316" s="2" t="s">
        <v>13</v>
      </c>
      <c r="F316" s="2" t="s">
        <v>14</v>
      </c>
      <c r="G316" s="3">
        <v>540</v>
      </c>
      <c r="H316" s="1" t="s">
        <v>286</v>
      </c>
      <c r="I316">
        <f t="shared" si="25"/>
        <v>9</v>
      </c>
      <c r="J316" t="str">
        <f t="shared" si="26"/>
        <v>Navratri</v>
      </c>
      <c r="K316" t="str">
        <f t="shared" si="27"/>
        <v>Promoted</v>
      </c>
      <c r="L316" t="str">
        <f t="shared" si="28"/>
        <v>Employee</v>
      </c>
      <c r="M316">
        <f t="shared" si="30"/>
        <v>7</v>
      </c>
      <c r="N316" t="str">
        <f t="shared" si="29"/>
        <v>September</v>
      </c>
    </row>
    <row r="317" spans="1:14" x14ac:dyDescent="0.3">
      <c r="A317" s="2" t="s">
        <v>285</v>
      </c>
      <c r="B317" t="s">
        <v>122</v>
      </c>
      <c r="C317" s="2" t="s">
        <v>35</v>
      </c>
      <c r="D317" s="2" t="s">
        <v>72</v>
      </c>
      <c r="E317" s="2" t="s">
        <v>13</v>
      </c>
      <c r="F317" s="2" t="s">
        <v>25</v>
      </c>
      <c r="G317" s="3">
        <v>180</v>
      </c>
      <c r="H317" s="1" t="s">
        <v>286</v>
      </c>
      <c r="I317">
        <f t="shared" si="25"/>
        <v>9</v>
      </c>
      <c r="J317" t="str">
        <f t="shared" si="26"/>
        <v>Navratri</v>
      </c>
      <c r="K317" t="str">
        <f t="shared" si="27"/>
        <v>Promoted</v>
      </c>
      <c r="L317" t="str">
        <f t="shared" si="28"/>
        <v>Known Employee</v>
      </c>
      <c r="M317">
        <f t="shared" si="30"/>
        <v>6</v>
      </c>
      <c r="N317" t="str">
        <f t="shared" si="29"/>
        <v>September</v>
      </c>
    </row>
    <row r="318" spans="1:14" x14ac:dyDescent="0.3">
      <c r="A318" s="2" t="s">
        <v>546</v>
      </c>
      <c r="B318" t="s">
        <v>227</v>
      </c>
      <c r="C318" s="2" t="s">
        <v>53</v>
      </c>
      <c r="D318" s="2" t="s">
        <v>138</v>
      </c>
      <c r="E318" s="2" t="s">
        <v>13</v>
      </c>
      <c r="F318" s="2" t="s">
        <v>119</v>
      </c>
      <c r="G318" s="3">
        <v>110</v>
      </c>
      <c r="H318" s="1" t="s">
        <v>547</v>
      </c>
      <c r="I318">
        <f t="shared" si="25"/>
        <v>9</v>
      </c>
      <c r="J318" t="str">
        <f t="shared" si="26"/>
        <v>Navratri</v>
      </c>
      <c r="K318" t="str">
        <f t="shared" si="27"/>
        <v>Promoted</v>
      </c>
      <c r="L318" t="str">
        <f t="shared" si="28"/>
        <v>Known Employee</v>
      </c>
      <c r="M318">
        <f t="shared" si="30"/>
        <v>8</v>
      </c>
      <c r="N318" t="str">
        <f t="shared" si="29"/>
        <v>September</v>
      </c>
    </row>
    <row r="319" spans="1:14" x14ac:dyDescent="0.3">
      <c r="A319" s="2" t="s">
        <v>1913</v>
      </c>
      <c r="B319" t="s">
        <v>491</v>
      </c>
      <c r="C319" s="2" t="s">
        <v>29</v>
      </c>
      <c r="D319" s="2" t="s">
        <v>123</v>
      </c>
      <c r="E319" s="2" t="s">
        <v>13</v>
      </c>
      <c r="F319" s="2" t="s">
        <v>40</v>
      </c>
      <c r="G319" s="3">
        <v>320</v>
      </c>
      <c r="H319" s="1" t="s">
        <v>1914</v>
      </c>
      <c r="I319">
        <f t="shared" si="25"/>
        <v>9</v>
      </c>
      <c r="J319" t="str">
        <f t="shared" si="26"/>
        <v>Navratri</v>
      </c>
      <c r="K319" t="str">
        <f t="shared" si="27"/>
        <v>Promoted</v>
      </c>
      <c r="L319" t="str">
        <f t="shared" si="28"/>
        <v>Known Employee</v>
      </c>
      <c r="M319">
        <f t="shared" si="30"/>
        <v>5</v>
      </c>
      <c r="N319" t="str">
        <f t="shared" si="29"/>
        <v>September</v>
      </c>
    </row>
    <row r="320" spans="1:14" x14ac:dyDescent="0.3">
      <c r="A320" s="2" t="s">
        <v>1436</v>
      </c>
      <c r="B320" t="s">
        <v>1438</v>
      </c>
      <c r="C320" s="2" t="s">
        <v>18</v>
      </c>
      <c r="D320" s="2" t="s">
        <v>12</v>
      </c>
      <c r="E320" s="2" t="s">
        <v>13</v>
      </c>
      <c r="F320" s="2" t="s">
        <v>14</v>
      </c>
      <c r="G320" s="3">
        <v>464</v>
      </c>
      <c r="H320" s="1" t="s">
        <v>1437</v>
      </c>
      <c r="I320">
        <f t="shared" si="25"/>
        <v>9</v>
      </c>
      <c r="J320" t="str">
        <f t="shared" si="26"/>
        <v>Navratri</v>
      </c>
      <c r="K320" t="str">
        <f t="shared" si="27"/>
        <v>Promoted</v>
      </c>
      <c r="L320" t="str">
        <f t="shared" si="28"/>
        <v>Known Employee</v>
      </c>
      <c r="M320">
        <f t="shared" si="30"/>
        <v>1</v>
      </c>
      <c r="N320" t="str">
        <f t="shared" si="29"/>
        <v>September</v>
      </c>
    </row>
    <row r="321" spans="1:14" x14ac:dyDescent="0.3">
      <c r="A321" s="2" t="s">
        <v>1046</v>
      </c>
      <c r="B321" t="s">
        <v>901</v>
      </c>
      <c r="C321" s="2" t="s">
        <v>53</v>
      </c>
      <c r="D321" s="2" t="s">
        <v>138</v>
      </c>
      <c r="E321" s="2" t="s">
        <v>13</v>
      </c>
      <c r="F321" s="2" t="s">
        <v>25</v>
      </c>
      <c r="G321" s="3">
        <v>508</v>
      </c>
      <c r="H321" s="1" t="s">
        <v>1047</v>
      </c>
      <c r="I321">
        <f t="shared" si="25"/>
        <v>10</v>
      </c>
      <c r="J321" t="str">
        <f t="shared" si="26"/>
        <v>Diwali</v>
      </c>
      <c r="K321" t="str">
        <f t="shared" si="27"/>
        <v>Promoted</v>
      </c>
      <c r="L321" t="str">
        <f t="shared" si="28"/>
        <v>Known Employee</v>
      </c>
      <c r="M321">
        <f t="shared" si="30"/>
        <v>4</v>
      </c>
      <c r="N321" t="str">
        <f t="shared" si="29"/>
        <v>October</v>
      </c>
    </row>
    <row r="322" spans="1:14" x14ac:dyDescent="0.3">
      <c r="A322" s="2" t="s">
        <v>1674</v>
      </c>
      <c r="B322" t="s">
        <v>10</v>
      </c>
      <c r="C322" s="2" t="s">
        <v>1945</v>
      </c>
      <c r="D322" s="2" t="s">
        <v>340</v>
      </c>
      <c r="E322" s="2" t="s">
        <v>13</v>
      </c>
      <c r="F322" s="2" t="s">
        <v>25</v>
      </c>
      <c r="G322" s="3">
        <v>145</v>
      </c>
      <c r="H322" s="1" t="s">
        <v>1675</v>
      </c>
      <c r="I322">
        <f t="shared" ref="I322:I385" si="31">MONTH(H322)</f>
        <v>10</v>
      </c>
      <c r="J322" t="str">
        <f t="shared" ref="J322:J385" si="32">IF(OR(I322=10,I322=11),"Diwali",IF(I322=9,"Navratri",IF(I322=8,"Rakshabandhan",IF(I322=3,"Holi",IF(I322=1,"Makar Sankranti","Regular")))))</f>
        <v>Diwali</v>
      </c>
      <c r="K322" t="str">
        <f t="shared" ref="K322:K385" si="33" xml:space="preserve"> IF(E322="No Promotion", "Not Promoted", "Promoted")</f>
        <v>Promoted</v>
      </c>
      <c r="L322" t="str">
        <f t="shared" ref="L322:L385" si="34" xml:space="preserve"> IF(D322="Unknown","Employee","Known Employee")</f>
        <v>Known Employee</v>
      </c>
      <c r="M322">
        <f t="shared" si="30"/>
        <v>6</v>
      </c>
      <c r="N322" t="str">
        <f t="shared" si="29"/>
        <v>October</v>
      </c>
    </row>
    <row r="323" spans="1:14" x14ac:dyDescent="0.3">
      <c r="A323" s="2" t="s">
        <v>1762</v>
      </c>
      <c r="B323" t="s">
        <v>1070</v>
      </c>
      <c r="C323" s="2" t="s">
        <v>29</v>
      </c>
      <c r="D323" s="2" t="s">
        <v>200</v>
      </c>
      <c r="E323" s="2" t="s">
        <v>24</v>
      </c>
      <c r="F323" s="2" t="s">
        <v>14</v>
      </c>
      <c r="G323" s="3">
        <v>72</v>
      </c>
      <c r="H323" s="1" t="s">
        <v>582</v>
      </c>
      <c r="I323">
        <f t="shared" si="31"/>
        <v>10</v>
      </c>
      <c r="J323" t="str">
        <f t="shared" si="32"/>
        <v>Diwali</v>
      </c>
      <c r="K323" t="str">
        <f t="shared" si="33"/>
        <v>Promoted</v>
      </c>
      <c r="L323" t="str">
        <f t="shared" si="34"/>
        <v>Known Employee</v>
      </c>
      <c r="M323">
        <f t="shared" si="30"/>
        <v>5</v>
      </c>
      <c r="N323" t="str">
        <f t="shared" ref="N323:N386" si="35">TEXT(DATE(2000, I323, 1), "mmmm")</f>
        <v>October</v>
      </c>
    </row>
    <row r="324" spans="1:14" x14ac:dyDescent="0.3">
      <c r="A324" s="2" t="s">
        <v>581</v>
      </c>
      <c r="B324" t="s">
        <v>233</v>
      </c>
      <c r="C324" s="2" t="s">
        <v>11</v>
      </c>
      <c r="D324" s="2" t="s">
        <v>23</v>
      </c>
      <c r="E324" s="2" t="s">
        <v>54</v>
      </c>
      <c r="F324" s="2" t="s">
        <v>25</v>
      </c>
      <c r="G324" s="3">
        <v>178.5</v>
      </c>
      <c r="H324" s="1" t="s">
        <v>582</v>
      </c>
      <c r="I324">
        <f t="shared" si="31"/>
        <v>10</v>
      </c>
      <c r="J324" t="str">
        <f t="shared" si="32"/>
        <v>Diwali</v>
      </c>
      <c r="K324" t="str">
        <f t="shared" si="33"/>
        <v>Promoted</v>
      </c>
      <c r="L324" t="str">
        <f t="shared" si="34"/>
        <v>Known Employee</v>
      </c>
      <c r="M324">
        <f t="shared" si="30"/>
        <v>6</v>
      </c>
      <c r="N324" t="str">
        <f t="shared" si="35"/>
        <v>October</v>
      </c>
    </row>
    <row r="325" spans="1:14" x14ac:dyDescent="0.3">
      <c r="A325" s="2" t="s">
        <v>1247</v>
      </c>
      <c r="B325" t="s">
        <v>1249</v>
      </c>
      <c r="C325" s="2" t="s">
        <v>35</v>
      </c>
      <c r="D325" s="2" t="s">
        <v>340</v>
      </c>
      <c r="E325" s="2" t="s">
        <v>13</v>
      </c>
      <c r="F325" s="2" t="s">
        <v>65</v>
      </c>
      <c r="G325" s="3">
        <v>715</v>
      </c>
      <c r="H325" s="1" t="s">
        <v>1248</v>
      </c>
      <c r="I325">
        <f t="shared" si="31"/>
        <v>10</v>
      </c>
      <c r="J325" t="str">
        <f t="shared" si="32"/>
        <v>Diwali</v>
      </c>
      <c r="K325" t="str">
        <f t="shared" si="33"/>
        <v>Promoted</v>
      </c>
      <c r="L325" t="str">
        <f t="shared" si="34"/>
        <v>Known Employee</v>
      </c>
      <c r="M325">
        <f t="shared" si="30"/>
        <v>1</v>
      </c>
      <c r="N325" t="str">
        <f t="shared" si="35"/>
        <v>October</v>
      </c>
    </row>
    <row r="326" spans="1:14" x14ac:dyDescent="0.3">
      <c r="A326" s="2" t="s">
        <v>889</v>
      </c>
      <c r="B326" t="s">
        <v>710</v>
      </c>
      <c r="C326" s="2" t="s">
        <v>35</v>
      </c>
      <c r="D326" s="2" t="s">
        <v>340</v>
      </c>
      <c r="E326" s="2" t="s">
        <v>13</v>
      </c>
      <c r="F326" s="2" t="s">
        <v>25</v>
      </c>
      <c r="G326" s="3">
        <v>233</v>
      </c>
      <c r="H326" s="1" t="s">
        <v>890</v>
      </c>
      <c r="I326">
        <f t="shared" si="31"/>
        <v>10</v>
      </c>
      <c r="J326" t="str">
        <f t="shared" si="32"/>
        <v>Diwali</v>
      </c>
      <c r="K326" t="str">
        <f t="shared" si="33"/>
        <v>Promoted</v>
      </c>
      <c r="L326" t="str">
        <f t="shared" si="34"/>
        <v>Known Employee</v>
      </c>
      <c r="M326">
        <f t="shared" si="30"/>
        <v>5</v>
      </c>
      <c r="N326" t="str">
        <f t="shared" si="35"/>
        <v>October</v>
      </c>
    </row>
    <row r="327" spans="1:14" x14ac:dyDescent="0.3">
      <c r="A327" s="2" t="s">
        <v>1886</v>
      </c>
      <c r="B327" t="s">
        <v>203</v>
      </c>
      <c r="C327" s="2" t="s">
        <v>29</v>
      </c>
      <c r="D327" s="2" t="s">
        <v>30</v>
      </c>
      <c r="E327" s="2" t="s">
        <v>13</v>
      </c>
      <c r="F327" s="2" t="s">
        <v>65</v>
      </c>
      <c r="G327" s="3">
        <v>366</v>
      </c>
      <c r="H327" s="1" t="s">
        <v>1887</v>
      </c>
      <c r="I327">
        <f t="shared" si="31"/>
        <v>10</v>
      </c>
      <c r="J327" t="str">
        <f t="shared" si="32"/>
        <v>Diwali</v>
      </c>
      <c r="K327" t="str">
        <f t="shared" si="33"/>
        <v>Promoted</v>
      </c>
      <c r="L327" t="str">
        <f t="shared" si="34"/>
        <v>Known Employee</v>
      </c>
      <c r="M327">
        <f t="shared" si="30"/>
        <v>4</v>
      </c>
      <c r="N327" t="str">
        <f t="shared" si="35"/>
        <v>October</v>
      </c>
    </row>
    <row r="328" spans="1:14" x14ac:dyDescent="0.3">
      <c r="A328" s="2" t="s">
        <v>1471</v>
      </c>
      <c r="B328" t="s">
        <v>421</v>
      </c>
      <c r="C328" s="2" t="s">
        <v>35</v>
      </c>
      <c r="D328" s="2" t="s">
        <v>36</v>
      </c>
      <c r="E328" s="2" t="s">
        <v>13</v>
      </c>
      <c r="F328" s="2" t="s">
        <v>25</v>
      </c>
      <c r="G328" s="3">
        <v>323</v>
      </c>
      <c r="H328" s="1" t="s">
        <v>1472</v>
      </c>
      <c r="I328">
        <f t="shared" si="31"/>
        <v>10</v>
      </c>
      <c r="J328" t="str">
        <f t="shared" si="32"/>
        <v>Diwali</v>
      </c>
      <c r="K328" t="str">
        <f t="shared" si="33"/>
        <v>Promoted</v>
      </c>
      <c r="L328" t="str">
        <f t="shared" si="34"/>
        <v>Known Employee</v>
      </c>
      <c r="M328">
        <f t="shared" si="30"/>
        <v>2</v>
      </c>
      <c r="N328" t="str">
        <f t="shared" si="35"/>
        <v>October</v>
      </c>
    </row>
    <row r="329" spans="1:14" x14ac:dyDescent="0.3">
      <c r="A329" s="2" t="s">
        <v>472</v>
      </c>
      <c r="B329" t="s">
        <v>474</v>
      </c>
      <c r="C329" s="2" t="s">
        <v>35</v>
      </c>
      <c r="D329" s="2" t="s">
        <v>36</v>
      </c>
      <c r="E329" s="2" t="s">
        <v>13</v>
      </c>
      <c r="F329" s="2" t="s">
        <v>14</v>
      </c>
      <c r="G329" s="3">
        <v>729</v>
      </c>
      <c r="H329" s="1" t="s">
        <v>473</v>
      </c>
      <c r="I329">
        <f t="shared" si="31"/>
        <v>10</v>
      </c>
      <c r="J329" t="str">
        <f t="shared" si="32"/>
        <v>Diwali</v>
      </c>
      <c r="K329" t="str">
        <f t="shared" si="33"/>
        <v>Promoted</v>
      </c>
      <c r="L329" t="str">
        <f t="shared" si="34"/>
        <v>Known Employee</v>
      </c>
      <c r="M329">
        <f t="shared" si="30"/>
        <v>3</v>
      </c>
      <c r="N329" t="str">
        <f t="shared" si="35"/>
        <v>October</v>
      </c>
    </row>
    <row r="330" spans="1:14" x14ac:dyDescent="0.3">
      <c r="A330" s="2" t="s">
        <v>1360</v>
      </c>
      <c r="B330" t="s">
        <v>203</v>
      </c>
      <c r="C330" s="2" t="s">
        <v>35</v>
      </c>
      <c r="D330" s="2" t="s">
        <v>1945</v>
      </c>
      <c r="E330" s="2" t="s">
        <v>13</v>
      </c>
      <c r="F330" s="2" t="s">
        <v>25</v>
      </c>
      <c r="G330" s="3">
        <v>100</v>
      </c>
      <c r="H330" s="1" t="s">
        <v>1361</v>
      </c>
      <c r="I330">
        <f t="shared" si="31"/>
        <v>10</v>
      </c>
      <c r="J330" t="str">
        <f t="shared" si="32"/>
        <v>Diwali</v>
      </c>
      <c r="K330" t="str">
        <f t="shared" si="33"/>
        <v>Promoted</v>
      </c>
      <c r="L330" t="str">
        <f t="shared" si="34"/>
        <v>Employee</v>
      </c>
      <c r="M330">
        <f t="shared" ref="M330:M393" si="36">COUNTIF($B$1:$B$805, B330)</f>
        <v>4</v>
      </c>
      <c r="N330" t="str">
        <f t="shared" si="35"/>
        <v>October</v>
      </c>
    </row>
    <row r="331" spans="1:14" x14ac:dyDescent="0.3">
      <c r="A331" s="2" t="s">
        <v>737</v>
      </c>
      <c r="B331" t="s">
        <v>411</v>
      </c>
      <c r="C331" s="2" t="s">
        <v>53</v>
      </c>
      <c r="D331" s="2" t="s">
        <v>118</v>
      </c>
      <c r="E331" s="2" t="s">
        <v>13</v>
      </c>
      <c r="F331" s="2" t="s">
        <v>65</v>
      </c>
      <c r="G331" s="3">
        <v>355</v>
      </c>
      <c r="H331" s="1" t="s">
        <v>738</v>
      </c>
      <c r="I331">
        <f t="shared" si="31"/>
        <v>10</v>
      </c>
      <c r="J331" t="str">
        <f t="shared" si="32"/>
        <v>Diwali</v>
      </c>
      <c r="K331" t="str">
        <f t="shared" si="33"/>
        <v>Promoted</v>
      </c>
      <c r="L331" t="str">
        <f t="shared" si="34"/>
        <v>Known Employee</v>
      </c>
      <c r="M331">
        <f t="shared" si="36"/>
        <v>5</v>
      </c>
      <c r="N331" t="str">
        <f t="shared" si="35"/>
        <v>October</v>
      </c>
    </row>
    <row r="332" spans="1:14" x14ac:dyDescent="0.3">
      <c r="A332" s="2" t="s">
        <v>1906</v>
      </c>
      <c r="B332" t="s">
        <v>316</v>
      </c>
      <c r="C332" s="2" t="s">
        <v>29</v>
      </c>
      <c r="D332" s="2" t="s">
        <v>49</v>
      </c>
      <c r="E332" s="2" t="s">
        <v>13</v>
      </c>
      <c r="F332" s="2" t="s">
        <v>25</v>
      </c>
      <c r="G332" s="3">
        <v>50</v>
      </c>
      <c r="H332" s="1" t="s">
        <v>1907</v>
      </c>
      <c r="I332">
        <f t="shared" si="31"/>
        <v>10</v>
      </c>
      <c r="J332" t="str">
        <f t="shared" si="32"/>
        <v>Diwali</v>
      </c>
      <c r="K332" t="str">
        <f t="shared" si="33"/>
        <v>Promoted</v>
      </c>
      <c r="L332" t="str">
        <f t="shared" si="34"/>
        <v>Known Employee</v>
      </c>
      <c r="M332">
        <f t="shared" si="36"/>
        <v>4</v>
      </c>
      <c r="N332" t="str">
        <f t="shared" si="35"/>
        <v>October</v>
      </c>
    </row>
    <row r="333" spans="1:14" x14ac:dyDescent="0.3">
      <c r="A333" s="2" t="s">
        <v>1756</v>
      </c>
      <c r="B333" t="s">
        <v>587</v>
      </c>
      <c r="C333" s="2" t="s">
        <v>29</v>
      </c>
      <c r="D333" s="2" t="s">
        <v>168</v>
      </c>
      <c r="E333" s="2" t="s">
        <v>13</v>
      </c>
      <c r="F333" s="2" t="s">
        <v>14</v>
      </c>
      <c r="G333" s="3">
        <v>334</v>
      </c>
      <c r="H333" s="1" t="s">
        <v>1971</v>
      </c>
      <c r="I333">
        <f t="shared" si="31"/>
        <v>10</v>
      </c>
      <c r="J333" t="str">
        <f t="shared" si="32"/>
        <v>Diwali</v>
      </c>
      <c r="K333" t="str">
        <f t="shared" si="33"/>
        <v>Promoted</v>
      </c>
      <c r="L333" t="str">
        <f t="shared" si="34"/>
        <v>Known Employee</v>
      </c>
      <c r="M333">
        <f t="shared" si="36"/>
        <v>4</v>
      </c>
      <c r="N333" t="str">
        <f t="shared" si="35"/>
        <v>October</v>
      </c>
    </row>
    <row r="334" spans="1:14" x14ac:dyDescent="0.3">
      <c r="A334" s="2" t="s">
        <v>169</v>
      </c>
      <c r="B334" t="s">
        <v>171</v>
      </c>
      <c r="C334" s="2" t="s">
        <v>53</v>
      </c>
      <c r="D334" s="2" t="s">
        <v>83</v>
      </c>
      <c r="E334" s="2" t="s">
        <v>13</v>
      </c>
      <c r="F334" s="2" t="s">
        <v>65</v>
      </c>
      <c r="G334" s="3">
        <v>100</v>
      </c>
      <c r="H334" s="1" t="s">
        <v>170</v>
      </c>
      <c r="I334">
        <f t="shared" si="31"/>
        <v>10</v>
      </c>
      <c r="J334" t="str">
        <f t="shared" si="32"/>
        <v>Diwali</v>
      </c>
      <c r="K334" t="str">
        <f t="shared" si="33"/>
        <v>Promoted</v>
      </c>
      <c r="L334" t="str">
        <f t="shared" si="34"/>
        <v>Known Employee</v>
      </c>
      <c r="M334">
        <f t="shared" si="36"/>
        <v>3</v>
      </c>
      <c r="N334" t="str">
        <f t="shared" si="35"/>
        <v>October</v>
      </c>
    </row>
    <row r="335" spans="1:14" x14ac:dyDescent="0.3">
      <c r="A335" s="2" t="s">
        <v>541</v>
      </c>
      <c r="B335" t="s">
        <v>543</v>
      </c>
      <c r="C335" s="2" t="s">
        <v>29</v>
      </c>
      <c r="D335" s="2" t="s">
        <v>123</v>
      </c>
      <c r="E335" s="2" t="s">
        <v>13</v>
      </c>
      <c r="F335" s="2" t="s">
        <v>144</v>
      </c>
      <c r="G335" s="3">
        <v>170</v>
      </c>
      <c r="H335" s="1" t="s">
        <v>542</v>
      </c>
      <c r="I335">
        <f t="shared" si="31"/>
        <v>10</v>
      </c>
      <c r="J335" t="str">
        <f t="shared" si="32"/>
        <v>Diwali</v>
      </c>
      <c r="K335" t="str">
        <f t="shared" si="33"/>
        <v>Promoted</v>
      </c>
      <c r="L335" t="str">
        <f t="shared" si="34"/>
        <v>Known Employee</v>
      </c>
      <c r="M335">
        <f t="shared" si="36"/>
        <v>5</v>
      </c>
      <c r="N335" t="str">
        <f t="shared" si="35"/>
        <v>October</v>
      </c>
    </row>
    <row r="336" spans="1:14" x14ac:dyDescent="0.3">
      <c r="A336" s="2" t="s">
        <v>1294</v>
      </c>
      <c r="B336" t="s">
        <v>833</v>
      </c>
      <c r="C336" s="2" t="s">
        <v>35</v>
      </c>
      <c r="D336" s="2" t="s">
        <v>72</v>
      </c>
      <c r="E336" s="2" t="s">
        <v>13</v>
      </c>
      <c r="F336" s="2" t="s">
        <v>40</v>
      </c>
      <c r="G336" s="3">
        <v>140</v>
      </c>
      <c r="H336" s="1" t="s">
        <v>1962</v>
      </c>
      <c r="I336">
        <f t="shared" si="31"/>
        <v>11</v>
      </c>
      <c r="J336" t="str">
        <f t="shared" si="32"/>
        <v>Diwali</v>
      </c>
      <c r="K336" t="str">
        <f t="shared" si="33"/>
        <v>Promoted</v>
      </c>
      <c r="L336" t="str">
        <f t="shared" si="34"/>
        <v>Known Employee</v>
      </c>
      <c r="M336">
        <f t="shared" si="36"/>
        <v>4</v>
      </c>
      <c r="N336" t="str">
        <f t="shared" si="35"/>
        <v>November</v>
      </c>
    </row>
    <row r="337" spans="1:14" x14ac:dyDescent="0.3">
      <c r="A337" s="2" t="s">
        <v>1884</v>
      </c>
      <c r="B337" t="s">
        <v>1885</v>
      </c>
      <c r="C337" s="2" t="s">
        <v>53</v>
      </c>
      <c r="D337" s="2" t="s">
        <v>83</v>
      </c>
      <c r="E337" s="2" t="s">
        <v>13</v>
      </c>
      <c r="F337" s="2" t="s">
        <v>40</v>
      </c>
      <c r="G337" s="3">
        <v>240</v>
      </c>
      <c r="H337" s="1" t="s">
        <v>1331</v>
      </c>
      <c r="I337">
        <f t="shared" si="31"/>
        <v>11</v>
      </c>
      <c r="J337" t="str">
        <f t="shared" si="32"/>
        <v>Diwali</v>
      </c>
      <c r="K337" t="str">
        <f t="shared" si="33"/>
        <v>Promoted</v>
      </c>
      <c r="L337" t="str">
        <f t="shared" si="34"/>
        <v>Known Employee</v>
      </c>
      <c r="M337">
        <f t="shared" si="36"/>
        <v>1</v>
      </c>
      <c r="N337" t="str">
        <f t="shared" si="35"/>
        <v>November</v>
      </c>
    </row>
    <row r="338" spans="1:14" x14ac:dyDescent="0.3">
      <c r="A338" s="2" t="s">
        <v>1330</v>
      </c>
      <c r="B338" t="s">
        <v>713</v>
      </c>
      <c r="C338" s="2" t="s">
        <v>29</v>
      </c>
      <c r="D338" s="2" t="s">
        <v>123</v>
      </c>
      <c r="E338" s="2" t="s">
        <v>13</v>
      </c>
      <c r="F338" s="2" t="s">
        <v>65</v>
      </c>
      <c r="G338" s="3">
        <v>515</v>
      </c>
      <c r="H338" s="1" t="s">
        <v>1331</v>
      </c>
      <c r="I338">
        <f t="shared" si="31"/>
        <v>11</v>
      </c>
      <c r="J338" t="str">
        <f t="shared" si="32"/>
        <v>Diwali</v>
      </c>
      <c r="K338" t="str">
        <f t="shared" si="33"/>
        <v>Promoted</v>
      </c>
      <c r="L338" t="str">
        <f t="shared" si="34"/>
        <v>Known Employee</v>
      </c>
      <c r="M338">
        <f t="shared" si="36"/>
        <v>3</v>
      </c>
      <c r="N338" t="str">
        <f t="shared" si="35"/>
        <v>November</v>
      </c>
    </row>
    <row r="339" spans="1:14" x14ac:dyDescent="0.3">
      <c r="A339" s="2" t="s">
        <v>1943</v>
      </c>
      <c r="B339" t="s">
        <v>122</v>
      </c>
      <c r="C339" s="2" t="s">
        <v>53</v>
      </c>
      <c r="D339" s="2" t="s">
        <v>104</v>
      </c>
      <c r="E339" s="2" t="s">
        <v>13</v>
      </c>
      <c r="F339" s="2" t="s">
        <v>14</v>
      </c>
      <c r="G339" s="3">
        <v>60</v>
      </c>
      <c r="H339" s="1" t="s">
        <v>1944</v>
      </c>
      <c r="I339">
        <f t="shared" si="31"/>
        <v>11</v>
      </c>
      <c r="J339" t="str">
        <f t="shared" si="32"/>
        <v>Diwali</v>
      </c>
      <c r="K339" t="str">
        <f t="shared" si="33"/>
        <v>Promoted</v>
      </c>
      <c r="L339" t="str">
        <f t="shared" si="34"/>
        <v>Known Employee</v>
      </c>
      <c r="M339">
        <f t="shared" si="36"/>
        <v>6</v>
      </c>
      <c r="N339" t="str">
        <f t="shared" si="35"/>
        <v>November</v>
      </c>
    </row>
    <row r="340" spans="1:14" x14ac:dyDescent="0.3">
      <c r="A340" s="2" t="s">
        <v>1686</v>
      </c>
      <c r="B340" t="s">
        <v>697</v>
      </c>
      <c r="C340" s="2" t="s">
        <v>246</v>
      </c>
      <c r="D340" s="2" t="s">
        <v>140</v>
      </c>
      <c r="E340" s="2" t="s">
        <v>13</v>
      </c>
      <c r="F340" s="2" t="s">
        <v>65</v>
      </c>
      <c r="G340" s="3">
        <v>50</v>
      </c>
      <c r="H340" s="1" t="s">
        <v>1687</v>
      </c>
      <c r="I340">
        <f t="shared" si="31"/>
        <v>11</v>
      </c>
      <c r="J340" t="str">
        <f t="shared" si="32"/>
        <v>Diwali</v>
      </c>
      <c r="K340" t="str">
        <f t="shared" si="33"/>
        <v>Promoted</v>
      </c>
      <c r="L340" t="str">
        <f t="shared" si="34"/>
        <v>Known Employee</v>
      </c>
      <c r="M340">
        <f t="shared" si="36"/>
        <v>3</v>
      </c>
      <c r="N340" t="str">
        <f t="shared" si="35"/>
        <v>November</v>
      </c>
    </row>
    <row r="341" spans="1:14" x14ac:dyDescent="0.3">
      <c r="A341" s="2" t="s">
        <v>1378</v>
      </c>
      <c r="B341" t="s">
        <v>457</v>
      </c>
      <c r="C341" s="2" t="s">
        <v>18</v>
      </c>
      <c r="D341" s="2" t="s">
        <v>231</v>
      </c>
      <c r="E341" s="2" t="s">
        <v>54</v>
      </c>
      <c r="F341" s="2" t="s">
        <v>14</v>
      </c>
      <c r="G341" s="3">
        <v>326.39999999999998</v>
      </c>
      <c r="H341" s="1" t="s">
        <v>1379</v>
      </c>
      <c r="I341">
        <f t="shared" si="31"/>
        <v>11</v>
      </c>
      <c r="J341" t="str">
        <f t="shared" si="32"/>
        <v>Diwali</v>
      </c>
      <c r="K341" t="str">
        <f t="shared" si="33"/>
        <v>Promoted</v>
      </c>
      <c r="L341" t="str">
        <f t="shared" si="34"/>
        <v>Known Employee</v>
      </c>
      <c r="M341">
        <f t="shared" si="36"/>
        <v>2</v>
      </c>
      <c r="N341" t="str">
        <f t="shared" si="35"/>
        <v>November</v>
      </c>
    </row>
    <row r="342" spans="1:14" x14ac:dyDescent="0.3">
      <c r="A342" s="2" t="s">
        <v>759</v>
      </c>
      <c r="B342" t="s">
        <v>760</v>
      </c>
      <c r="C342" s="2" t="s">
        <v>29</v>
      </c>
      <c r="D342" s="2" t="s">
        <v>123</v>
      </c>
      <c r="E342" s="2" t="s">
        <v>13</v>
      </c>
      <c r="F342" s="2" t="s">
        <v>65</v>
      </c>
      <c r="G342" s="3">
        <v>374</v>
      </c>
      <c r="H342" s="1" t="s">
        <v>653</v>
      </c>
      <c r="I342">
        <f t="shared" si="31"/>
        <v>11</v>
      </c>
      <c r="J342" t="str">
        <f t="shared" si="32"/>
        <v>Diwali</v>
      </c>
      <c r="K342" t="str">
        <f t="shared" si="33"/>
        <v>Promoted</v>
      </c>
      <c r="L342" t="str">
        <f t="shared" si="34"/>
        <v>Known Employee</v>
      </c>
      <c r="M342">
        <f t="shared" si="36"/>
        <v>4</v>
      </c>
      <c r="N342" t="str">
        <f t="shared" si="35"/>
        <v>November</v>
      </c>
    </row>
    <row r="343" spans="1:14" x14ac:dyDescent="0.3">
      <c r="A343" s="2" t="s">
        <v>652</v>
      </c>
      <c r="B343" t="s">
        <v>82</v>
      </c>
      <c r="C343" s="2" t="s">
        <v>35</v>
      </c>
      <c r="D343" s="2" t="s">
        <v>654</v>
      </c>
      <c r="E343" s="2" t="s">
        <v>13</v>
      </c>
      <c r="F343" s="2" t="s">
        <v>65</v>
      </c>
      <c r="G343" s="3">
        <v>530</v>
      </c>
      <c r="H343" s="1" t="s">
        <v>653</v>
      </c>
      <c r="I343">
        <f t="shared" si="31"/>
        <v>11</v>
      </c>
      <c r="J343" t="str">
        <f t="shared" si="32"/>
        <v>Diwali</v>
      </c>
      <c r="K343" t="str">
        <f t="shared" si="33"/>
        <v>Promoted</v>
      </c>
      <c r="L343" t="str">
        <f t="shared" si="34"/>
        <v>Known Employee</v>
      </c>
      <c r="M343">
        <f t="shared" si="36"/>
        <v>5</v>
      </c>
      <c r="N343" t="str">
        <f t="shared" si="35"/>
        <v>November</v>
      </c>
    </row>
    <row r="344" spans="1:14" x14ac:dyDescent="0.3">
      <c r="A344" s="2" t="s">
        <v>1190</v>
      </c>
      <c r="B344" t="s">
        <v>1191</v>
      </c>
      <c r="C344" s="2" t="s">
        <v>29</v>
      </c>
      <c r="D344" s="2" t="s">
        <v>30</v>
      </c>
      <c r="E344" s="2" t="s">
        <v>13</v>
      </c>
      <c r="F344" s="2" t="s">
        <v>65</v>
      </c>
      <c r="G344" s="3">
        <v>263</v>
      </c>
      <c r="H344" s="1" t="s">
        <v>193</v>
      </c>
      <c r="I344">
        <f t="shared" si="31"/>
        <v>11</v>
      </c>
      <c r="J344" t="str">
        <f t="shared" si="32"/>
        <v>Diwali</v>
      </c>
      <c r="K344" t="str">
        <f t="shared" si="33"/>
        <v>Promoted</v>
      </c>
      <c r="L344" t="str">
        <f t="shared" si="34"/>
        <v>Known Employee</v>
      </c>
      <c r="M344">
        <f t="shared" si="36"/>
        <v>4</v>
      </c>
      <c r="N344" t="str">
        <f t="shared" si="35"/>
        <v>November</v>
      </c>
    </row>
    <row r="345" spans="1:14" x14ac:dyDescent="0.3">
      <c r="A345" s="2" t="s">
        <v>192</v>
      </c>
      <c r="B345" t="s">
        <v>39</v>
      </c>
      <c r="C345" s="2" t="s">
        <v>29</v>
      </c>
      <c r="D345" s="2" t="s">
        <v>49</v>
      </c>
      <c r="E345" s="2" t="s">
        <v>1946</v>
      </c>
      <c r="F345" s="2" t="s">
        <v>40</v>
      </c>
      <c r="G345" s="3">
        <v>465</v>
      </c>
      <c r="H345" s="1" t="s">
        <v>193</v>
      </c>
      <c r="I345">
        <f t="shared" si="31"/>
        <v>11</v>
      </c>
      <c r="J345" t="str">
        <f t="shared" si="32"/>
        <v>Diwali</v>
      </c>
      <c r="K345" t="str">
        <f t="shared" si="33"/>
        <v>Not Promoted</v>
      </c>
      <c r="L345" t="str">
        <f t="shared" si="34"/>
        <v>Known Employee</v>
      </c>
      <c r="M345">
        <f t="shared" si="36"/>
        <v>2</v>
      </c>
      <c r="N345" t="str">
        <f t="shared" si="35"/>
        <v>November</v>
      </c>
    </row>
    <row r="346" spans="1:14" x14ac:dyDescent="0.3">
      <c r="A346" s="2" t="s">
        <v>794</v>
      </c>
      <c r="B346" t="s">
        <v>227</v>
      </c>
      <c r="C346" s="2" t="s">
        <v>35</v>
      </c>
      <c r="D346" s="2" t="s">
        <v>44</v>
      </c>
      <c r="E346" s="2" t="s">
        <v>13</v>
      </c>
      <c r="F346" s="2" t="s">
        <v>40</v>
      </c>
      <c r="G346" s="3">
        <v>85</v>
      </c>
      <c r="H346" s="1" t="s">
        <v>795</v>
      </c>
      <c r="I346">
        <f t="shared" si="31"/>
        <v>11</v>
      </c>
      <c r="J346" t="str">
        <f t="shared" si="32"/>
        <v>Diwali</v>
      </c>
      <c r="K346" t="str">
        <f t="shared" si="33"/>
        <v>Promoted</v>
      </c>
      <c r="L346" t="str">
        <f t="shared" si="34"/>
        <v>Known Employee</v>
      </c>
      <c r="M346">
        <f t="shared" si="36"/>
        <v>8</v>
      </c>
      <c r="N346" t="str">
        <f t="shared" si="35"/>
        <v>November</v>
      </c>
    </row>
    <row r="347" spans="1:14" x14ac:dyDescent="0.3">
      <c r="A347" s="2" t="s">
        <v>1830</v>
      </c>
      <c r="B347" t="s">
        <v>411</v>
      </c>
      <c r="C347" s="2" t="s">
        <v>53</v>
      </c>
      <c r="D347" s="2" t="s">
        <v>138</v>
      </c>
      <c r="E347" s="2" t="s">
        <v>13</v>
      </c>
      <c r="F347" s="2" t="s">
        <v>25</v>
      </c>
      <c r="G347" s="3">
        <v>408</v>
      </c>
      <c r="H347" s="1" t="s">
        <v>1547</v>
      </c>
      <c r="I347">
        <f t="shared" si="31"/>
        <v>11</v>
      </c>
      <c r="J347" t="str">
        <f t="shared" si="32"/>
        <v>Diwali</v>
      </c>
      <c r="K347" t="str">
        <f t="shared" si="33"/>
        <v>Promoted</v>
      </c>
      <c r="L347" t="str">
        <f t="shared" si="34"/>
        <v>Known Employee</v>
      </c>
      <c r="M347">
        <f t="shared" si="36"/>
        <v>5</v>
      </c>
      <c r="N347" t="str">
        <f t="shared" si="35"/>
        <v>November</v>
      </c>
    </row>
    <row r="348" spans="1:14" x14ac:dyDescent="0.3">
      <c r="A348" s="2" t="s">
        <v>847</v>
      </c>
      <c r="B348" t="s">
        <v>177</v>
      </c>
      <c r="C348" s="2" t="s">
        <v>246</v>
      </c>
      <c r="D348" s="2" t="s">
        <v>72</v>
      </c>
      <c r="E348" s="2" t="s">
        <v>13</v>
      </c>
      <c r="F348" s="2" t="s">
        <v>25</v>
      </c>
      <c r="G348" s="3">
        <v>210</v>
      </c>
      <c r="H348" s="1" t="s">
        <v>848</v>
      </c>
      <c r="I348">
        <f t="shared" si="31"/>
        <v>11</v>
      </c>
      <c r="J348" t="str">
        <f t="shared" si="32"/>
        <v>Diwali</v>
      </c>
      <c r="K348" t="str">
        <f t="shared" si="33"/>
        <v>Promoted</v>
      </c>
      <c r="L348" t="str">
        <f t="shared" si="34"/>
        <v>Known Employee</v>
      </c>
      <c r="M348">
        <f t="shared" si="36"/>
        <v>5</v>
      </c>
      <c r="N348" t="str">
        <f t="shared" si="35"/>
        <v>November</v>
      </c>
    </row>
    <row r="349" spans="1:14" x14ac:dyDescent="0.3">
      <c r="A349" s="2" t="s">
        <v>1102</v>
      </c>
      <c r="B349" t="s">
        <v>346</v>
      </c>
      <c r="C349" s="2" t="s">
        <v>29</v>
      </c>
      <c r="D349" s="2" t="s">
        <v>1103</v>
      </c>
      <c r="E349" s="2" t="s">
        <v>24</v>
      </c>
      <c r="F349" s="2" t="s">
        <v>25</v>
      </c>
      <c r="G349" s="3">
        <v>360</v>
      </c>
      <c r="H349" s="1" t="s">
        <v>166</v>
      </c>
      <c r="I349">
        <f t="shared" si="31"/>
        <v>11</v>
      </c>
      <c r="J349" t="str">
        <f t="shared" si="32"/>
        <v>Diwali</v>
      </c>
      <c r="K349" t="str">
        <f t="shared" si="33"/>
        <v>Promoted</v>
      </c>
      <c r="L349" t="str">
        <f t="shared" si="34"/>
        <v>Known Employee</v>
      </c>
      <c r="M349">
        <f t="shared" si="36"/>
        <v>5</v>
      </c>
      <c r="N349" t="str">
        <f t="shared" si="35"/>
        <v>November</v>
      </c>
    </row>
    <row r="350" spans="1:14" x14ac:dyDescent="0.3">
      <c r="A350" s="2" t="s">
        <v>165</v>
      </c>
      <c r="B350" t="s">
        <v>167</v>
      </c>
      <c r="C350" s="2" t="s">
        <v>29</v>
      </c>
      <c r="D350" s="2" t="s">
        <v>168</v>
      </c>
      <c r="E350" s="2" t="s">
        <v>54</v>
      </c>
      <c r="F350" s="2" t="s">
        <v>1945</v>
      </c>
      <c r="G350" s="3">
        <v>127.5</v>
      </c>
      <c r="H350" s="1" t="s">
        <v>166</v>
      </c>
      <c r="I350">
        <f t="shared" si="31"/>
        <v>11</v>
      </c>
      <c r="J350" t="str">
        <f t="shared" si="32"/>
        <v>Diwali</v>
      </c>
      <c r="K350" t="str">
        <f t="shared" si="33"/>
        <v>Promoted</v>
      </c>
      <c r="L350" t="str">
        <f t="shared" si="34"/>
        <v>Known Employee</v>
      </c>
      <c r="M350">
        <f t="shared" si="36"/>
        <v>3</v>
      </c>
      <c r="N350" t="str">
        <f t="shared" si="35"/>
        <v>November</v>
      </c>
    </row>
    <row r="351" spans="1:14" x14ac:dyDescent="0.3">
      <c r="A351" s="2" t="s">
        <v>20</v>
      </c>
      <c r="B351" t="s">
        <v>22</v>
      </c>
      <c r="C351" s="2" t="s">
        <v>18</v>
      </c>
      <c r="D351" s="2" t="s">
        <v>23</v>
      </c>
      <c r="E351" s="2" t="s">
        <v>24</v>
      </c>
      <c r="F351" s="2" t="s">
        <v>25</v>
      </c>
      <c r="G351" s="3">
        <v>144</v>
      </c>
      <c r="H351" s="1" t="s">
        <v>21</v>
      </c>
      <c r="I351">
        <f t="shared" si="31"/>
        <v>11</v>
      </c>
      <c r="J351" t="str">
        <f t="shared" si="32"/>
        <v>Diwali</v>
      </c>
      <c r="K351" t="str">
        <f t="shared" si="33"/>
        <v>Promoted</v>
      </c>
      <c r="L351" t="str">
        <f t="shared" si="34"/>
        <v>Known Employee</v>
      </c>
      <c r="M351">
        <f t="shared" si="36"/>
        <v>6</v>
      </c>
      <c r="N351" t="str">
        <f t="shared" si="35"/>
        <v>November</v>
      </c>
    </row>
    <row r="352" spans="1:14" x14ac:dyDescent="0.3">
      <c r="A352" s="2" t="s">
        <v>1413</v>
      </c>
      <c r="B352" t="s">
        <v>203</v>
      </c>
      <c r="C352" s="2" t="s">
        <v>29</v>
      </c>
      <c r="D352" s="2" t="s">
        <v>200</v>
      </c>
      <c r="E352" s="2" t="s">
        <v>13</v>
      </c>
      <c r="F352" s="2" t="s">
        <v>40</v>
      </c>
      <c r="G352" s="3">
        <v>363</v>
      </c>
      <c r="H352" s="1" t="s">
        <v>21</v>
      </c>
      <c r="I352">
        <f t="shared" si="31"/>
        <v>11</v>
      </c>
      <c r="J352" t="str">
        <f t="shared" si="32"/>
        <v>Diwali</v>
      </c>
      <c r="K352" t="str">
        <f t="shared" si="33"/>
        <v>Promoted</v>
      </c>
      <c r="L352" t="str">
        <f t="shared" si="34"/>
        <v>Known Employee</v>
      </c>
      <c r="M352">
        <f t="shared" si="36"/>
        <v>4</v>
      </c>
      <c r="N352" t="str">
        <f t="shared" si="35"/>
        <v>November</v>
      </c>
    </row>
    <row r="353" spans="1:14" x14ac:dyDescent="0.3">
      <c r="A353" s="2" t="s">
        <v>486</v>
      </c>
      <c r="B353" t="s">
        <v>79</v>
      </c>
      <c r="C353" s="2" t="s">
        <v>29</v>
      </c>
      <c r="D353" s="2" t="s">
        <v>168</v>
      </c>
      <c r="E353" s="2" t="s">
        <v>13</v>
      </c>
      <c r="F353" s="2" t="s">
        <v>65</v>
      </c>
      <c r="G353" s="3">
        <v>556</v>
      </c>
      <c r="H353" s="1" t="s">
        <v>21</v>
      </c>
      <c r="I353">
        <f t="shared" si="31"/>
        <v>11</v>
      </c>
      <c r="J353" t="str">
        <f t="shared" si="32"/>
        <v>Diwali</v>
      </c>
      <c r="K353" t="str">
        <f t="shared" si="33"/>
        <v>Promoted</v>
      </c>
      <c r="L353" t="str">
        <f t="shared" si="34"/>
        <v>Known Employee</v>
      </c>
      <c r="M353">
        <f t="shared" si="36"/>
        <v>7</v>
      </c>
      <c r="N353" t="str">
        <f t="shared" si="35"/>
        <v>November</v>
      </c>
    </row>
    <row r="354" spans="1:14" x14ac:dyDescent="0.3">
      <c r="A354" s="2" t="s">
        <v>1017</v>
      </c>
      <c r="B354" t="s">
        <v>1019</v>
      </c>
      <c r="C354" s="2" t="s">
        <v>18</v>
      </c>
      <c r="D354" s="2" t="s">
        <v>23</v>
      </c>
      <c r="E354" s="2" t="s">
        <v>13</v>
      </c>
      <c r="F354" s="2" t="s">
        <v>14</v>
      </c>
      <c r="G354" s="3">
        <v>80</v>
      </c>
      <c r="H354" s="1" t="s">
        <v>1018</v>
      </c>
      <c r="I354">
        <f t="shared" si="31"/>
        <v>11</v>
      </c>
      <c r="J354" t="str">
        <f t="shared" si="32"/>
        <v>Diwali</v>
      </c>
      <c r="K354" t="str">
        <f t="shared" si="33"/>
        <v>Promoted</v>
      </c>
      <c r="L354" t="str">
        <f t="shared" si="34"/>
        <v>Known Employee</v>
      </c>
      <c r="M354">
        <f t="shared" si="36"/>
        <v>3</v>
      </c>
      <c r="N354" t="str">
        <f t="shared" si="35"/>
        <v>November</v>
      </c>
    </row>
    <row r="355" spans="1:14" x14ac:dyDescent="0.3">
      <c r="A355" s="2" t="s">
        <v>1231</v>
      </c>
      <c r="B355" t="s">
        <v>856</v>
      </c>
      <c r="C355" s="2" t="s">
        <v>1945</v>
      </c>
      <c r="D355" s="2" t="s">
        <v>12</v>
      </c>
      <c r="E355" s="2" t="s">
        <v>54</v>
      </c>
      <c r="F355" s="2" t="s">
        <v>65</v>
      </c>
      <c r="G355" s="3">
        <v>411.4</v>
      </c>
      <c r="H355" s="1" t="s">
        <v>1232</v>
      </c>
      <c r="I355">
        <f t="shared" si="31"/>
        <v>11</v>
      </c>
      <c r="J355" t="str">
        <f t="shared" si="32"/>
        <v>Diwali</v>
      </c>
      <c r="K355" t="str">
        <f t="shared" si="33"/>
        <v>Promoted</v>
      </c>
      <c r="L355" t="str">
        <f t="shared" si="34"/>
        <v>Known Employee</v>
      </c>
      <c r="M355">
        <f t="shared" si="36"/>
        <v>4</v>
      </c>
      <c r="N355" t="str">
        <f t="shared" si="35"/>
        <v>November</v>
      </c>
    </row>
    <row r="356" spans="1:14" x14ac:dyDescent="0.3">
      <c r="A356" s="2" t="s">
        <v>1507</v>
      </c>
      <c r="B356" t="s">
        <v>196</v>
      </c>
      <c r="C356" s="2" t="s">
        <v>29</v>
      </c>
      <c r="D356" s="2" t="s">
        <v>49</v>
      </c>
      <c r="E356" s="2" t="s">
        <v>64</v>
      </c>
      <c r="F356" s="2" t="s">
        <v>507</v>
      </c>
      <c r="G356" s="3">
        <v>50</v>
      </c>
      <c r="H356" s="1" t="s">
        <v>1508</v>
      </c>
      <c r="I356">
        <f t="shared" si="31"/>
        <v>12</v>
      </c>
      <c r="J356" t="str">
        <f t="shared" si="32"/>
        <v>Regular</v>
      </c>
      <c r="K356" t="str">
        <f t="shared" si="33"/>
        <v>Promoted</v>
      </c>
      <c r="L356" t="str">
        <f t="shared" si="34"/>
        <v>Known Employee</v>
      </c>
      <c r="M356">
        <f t="shared" si="36"/>
        <v>8</v>
      </c>
      <c r="N356" t="str">
        <f t="shared" si="35"/>
        <v>December</v>
      </c>
    </row>
    <row r="357" spans="1:14" x14ac:dyDescent="0.3">
      <c r="A357" s="2" t="s">
        <v>672</v>
      </c>
      <c r="B357" t="s">
        <v>566</v>
      </c>
      <c r="C357" s="2" t="s">
        <v>479</v>
      </c>
      <c r="D357" s="2" t="s">
        <v>168</v>
      </c>
      <c r="E357" s="2" t="s">
        <v>158</v>
      </c>
      <c r="F357" s="2" t="s">
        <v>14</v>
      </c>
      <c r="G357" s="3">
        <v>129.19999999999999</v>
      </c>
      <c r="H357" s="1" t="s">
        <v>673</v>
      </c>
      <c r="I357">
        <f t="shared" si="31"/>
        <v>12</v>
      </c>
      <c r="J357" t="str">
        <f t="shared" si="32"/>
        <v>Regular</v>
      </c>
      <c r="K357" t="str">
        <f t="shared" si="33"/>
        <v>Promoted</v>
      </c>
      <c r="L357" t="str">
        <f t="shared" si="34"/>
        <v>Known Employee</v>
      </c>
      <c r="M357">
        <f t="shared" si="36"/>
        <v>3</v>
      </c>
      <c r="N357" t="str">
        <f t="shared" si="35"/>
        <v>December</v>
      </c>
    </row>
    <row r="358" spans="1:14" x14ac:dyDescent="0.3">
      <c r="A358" s="2" t="s">
        <v>664</v>
      </c>
      <c r="B358" t="s">
        <v>152</v>
      </c>
      <c r="C358" s="2" t="s">
        <v>35</v>
      </c>
      <c r="D358" s="2" t="s">
        <v>44</v>
      </c>
      <c r="E358" s="2" t="s">
        <v>13</v>
      </c>
      <c r="F358" s="2" t="s">
        <v>14</v>
      </c>
      <c r="G358" s="3">
        <v>610</v>
      </c>
      <c r="H358" s="1" t="s">
        <v>665</v>
      </c>
      <c r="I358">
        <f t="shared" si="31"/>
        <v>12</v>
      </c>
      <c r="J358" t="str">
        <f t="shared" si="32"/>
        <v>Regular</v>
      </c>
      <c r="K358" t="str">
        <f t="shared" si="33"/>
        <v>Promoted</v>
      </c>
      <c r="L358" t="str">
        <f t="shared" si="34"/>
        <v>Known Employee</v>
      </c>
      <c r="M358">
        <f t="shared" si="36"/>
        <v>4</v>
      </c>
      <c r="N358" t="str">
        <f t="shared" si="35"/>
        <v>December</v>
      </c>
    </row>
    <row r="359" spans="1:14" x14ac:dyDescent="0.3">
      <c r="A359" s="2" t="s">
        <v>1509</v>
      </c>
      <c r="B359" t="s">
        <v>249</v>
      </c>
      <c r="C359" s="2" t="s">
        <v>29</v>
      </c>
      <c r="D359" s="2" t="s">
        <v>168</v>
      </c>
      <c r="E359" s="2" t="s">
        <v>24</v>
      </c>
      <c r="F359" s="2" t="s">
        <v>65</v>
      </c>
      <c r="G359" s="3">
        <v>432</v>
      </c>
      <c r="H359" s="1" t="s">
        <v>1510</v>
      </c>
      <c r="I359">
        <f t="shared" si="31"/>
        <v>12</v>
      </c>
      <c r="J359" t="str">
        <f t="shared" si="32"/>
        <v>Regular</v>
      </c>
      <c r="K359" t="str">
        <f t="shared" si="33"/>
        <v>Promoted</v>
      </c>
      <c r="L359" t="str">
        <f t="shared" si="34"/>
        <v>Known Employee</v>
      </c>
      <c r="M359">
        <f t="shared" si="36"/>
        <v>4</v>
      </c>
      <c r="N359" t="str">
        <f t="shared" si="35"/>
        <v>December</v>
      </c>
    </row>
    <row r="360" spans="1:14" x14ac:dyDescent="0.3">
      <c r="A360" s="2" t="s">
        <v>1322</v>
      </c>
      <c r="B360" t="s">
        <v>1096</v>
      </c>
      <c r="C360" s="2" t="s">
        <v>35</v>
      </c>
      <c r="D360" s="2" t="s">
        <v>36</v>
      </c>
      <c r="E360" s="2" t="s">
        <v>13</v>
      </c>
      <c r="F360" s="2" t="s">
        <v>14</v>
      </c>
      <c r="G360" s="3">
        <v>235</v>
      </c>
      <c r="H360" s="1" t="s">
        <v>1323</v>
      </c>
      <c r="I360">
        <f t="shared" si="31"/>
        <v>12</v>
      </c>
      <c r="J360" t="str">
        <f t="shared" si="32"/>
        <v>Regular</v>
      </c>
      <c r="K360" t="str">
        <f t="shared" si="33"/>
        <v>Promoted</v>
      </c>
      <c r="L360" t="str">
        <f t="shared" si="34"/>
        <v>Known Employee</v>
      </c>
      <c r="M360">
        <f t="shared" si="36"/>
        <v>3</v>
      </c>
      <c r="N360" t="str">
        <f t="shared" si="35"/>
        <v>December</v>
      </c>
    </row>
    <row r="361" spans="1:14" x14ac:dyDescent="0.3">
      <c r="A361" s="2" t="s">
        <v>1817</v>
      </c>
      <c r="B361" t="s">
        <v>216</v>
      </c>
      <c r="C361" s="2" t="s">
        <v>1945</v>
      </c>
      <c r="D361" s="2" t="s">
        <v>87</v>
      </c>
      <c r="E361" s="2" t="s">
        <v>13</v>
      </c>
      <c r="F361" s="2" t="s">
        <v>40</v>
      </c>
      <c r="G361" s="3">
        <v>373</v>
      </c>
      <c r="H361" s="1" t="s">
        <v>1818</v>
      </c>
      <c r="I361">
        <f t="shared" si="31"/>
        <v>12</v>
      </c>
      <c r="J361" t="str">
        <f t="shared" si="32"/>
        <v>Regular</v>
      </c>
      <c r="K361" t="str">
        <f t="shared" si="33"/>
        <v>Promoted</v>
      </c>
      <c r="L361" t="str">
        <f t="shared" si="34"/>
        <v>Known Employee</v>
      </c>
      <c r="M361">
        <f t="shared" si="36"/>
        <v>3</v>
      </c>
      <c r="N361" t="str">
        <f t="shared" si="35"/>
        <v>December</v>
      </c>
    </row>
    <row r="362" spans="1:14" x14ac:dyDescent="0.3">
      <c r="A362" s="2" t="s">
        <v>1432</v>
      </c>
      <c r="B362" t="s">
        <v>79</v>
      </c>
      <c r="C362" s="2" t="s">
        <v>35</v>
      </c>
      <c r="D362" s="2" t="s">
        <v>140</v>
      </c>
      <c r="E362" s="2" t="s">
        <v>54</v>
      </c>
      <c r="F362" s="2" t="s">
        <v>25</v>
      </c>
      <c r="G362" s="3">
        <v>567.79999999999995</v>
      </c>
      <c r="H362" s="1" t="s">
        <v>1433</v>
      </c>
      <c r="I362">
        <f t="shared" si="31"/>
        <v>12</v>
      </c>
      <c r="J362" t="str">
        <f t="shared" si="32"/>
        <v>Regular</v>
      </c>
      <c r="K362" t="str">
        <f t="shared" si="33"/>
        <v>Promoted</v>
      </c>
      <c r="L362" t="str">
        <f t="shared" si="34"/>
        <v>Known Employee</v>
      </c>
      <c r="M362">
        <f t="shared" si="36"/>
        <v>7</v>
      </c>
      <c r="N362" t="str">
        <f t="shared" si="35"/>
        <v>December</v>
      </c>
    </row>
    <row r="363" spans="1:14" x14ac:dyDescent="0.3">
      <c r="A363" s="2" t="s">
        <v>1416</v>
      </c>
      <c r="B363" t="s">
        <v>770</v>
      </c>
      <c r="C363" s="2" t="s">
        <v>35</v>
      </c>
      <c r="D363" s="2" t="s">
        <v>44</v>
      </c>
      <c r="E363" s="2" t="s">
        <v>13</v>
      </c>
      <c r="F363" s="2" t="s">
        <v>14</v>
      </c>
      <c r="G363" s="3">
        <v>390</v>
      </c>
      <c r="H363" s="1" t="s">
        <v>1417</v>
      </c>
      <c r="I363">
        <f t="shared" si="31"/>
        <v>12</v>
      </c>
      <c r="J363" t="str">
        <f t="shared" si="32"/>
        <v>Regular</v>
      </c>
      <c r="K363" t="str">
        <f t="shared" si="33"/>
        <v>Promoted</v>
      </c>
      <c r="L363" t="str">
        <f t="shared" si="34"/>
        <v>Known Employee</v>
      </c>
      <c r="M363">
        <f t="shared" si="36"/>
        <v>5</v>
      </c>
      <c r="N363" t="str">
        <f t="shared" si="35"/>
        <v>December</v>
      </c>
    </row>
    <row r="364" spans="1:14" x14ac:dyDescent="0.3">
      <c r="A364" s="2" t="s">
        <v>1833</v>
      </c>
      <c r="B364" t="s">
        <v>255</v>
      </c>
      <c r="C364" s="2" t="s">
        <v>53</v>
      </c>
      <c r="D364" s="2" t="s">
        <v>118</v>
      </c>
      <c r="E364" s="2" t="s">
        <v>13</v>
      </c>
      <c r="F364" s="2" t="s">
        <v>25</v>
      </c>
      <c r="G364" s="3">
        <v>215</v>
      </c>
      <c r="H364" s="1" t="s">
        <v>163</v>
      </c>
      <c r="I364">
        <f t="shared" si="31"/>
        <v>12</v>
      </c>
      <c r="J364" t="str">
        <f t="shared" si="32"/>
        <v>Regular</v>
      </c>
      <c r="K364" t="str">
        <f t="shared" si="33"/>
        <v>Promoted</v>
      </c>
      <c r="L364" t="str">
        <f t="shared" si="34"/>
        <v>Known Employee</v>
      </c>
      <c r="M364">
        <f t="shared" si="36"/>
        <v>3</v>
      </c>
      <c r="N364" t="str">
        <f t="shared" si="35"/>
        <v>December</v>
      </c>
    </row>
    <row r="365" spans="1:14" x14ac:dyDescent="0.3">
      <c r="A365" s="2" t="s">
        <v>162</v>
      </c>
      <c r="B365" t="s">
        <v>164</v>
      </c>
      <c r="C365" s="2" t="s">
        <v>18</v>
      </c>
      <c r="D365" s="2" t="s">
        <v>12</v>
      </c>
      <c r="E365" s="2" t="s">
        <v>54</v>
      </c>
      <c r="F365" s="2" t="s">
        <v>40</v>
      </c>
      <c r="G365" s="3">
        <v>72.25</v>
      </c>
      <c r="H365" s="1" t="s">
        <v>163</v>
      </c>
      <c r="I365">
        <f t="shared" si="31"/>
        <v>12</v>
      </c>
      <c r="J365" t="str">
        <f t="shared" si="32"/>
        <v>Regular</v>
      </c>
      <c r="K365" t="str">
        <f t="shared" si="33"/>
        <v>Promoted</v>
      </c>
      <c r="L365" t="str">
        <f t="shared" si="34"/>
        <v>Known Employee</v>
      </c>
      <c r="M365">
        <f t="shared" si="36"/>
        <v>2</v>
      </c>
      <c r="N365" t="str">
        <f t="shared" si="35"/>
        <v>December</v>
      </c>
    </row>
    <row r="366" spans="1:14" x14ac:dyDescent="0.3">
      <c r="A366" s="2" t="s">
        <v>1406</v>
      </c>
      <c r="B366" t="s">
        <v>566</v>
      </c>
      <c r="C366" s="2" t="s">
        <v>53</v>
      </c>
      <c r="D366" s="2" t="s">
        <v>83</v>
      </c>
      <c r="E366" s="2" t="s">
        <v>13</v>
      </c>
      <c r="F366" s="2" t="s">
        <v>14</v>
      </c>
      <c r="G366" s="3">
        <v>465</v>
      </c>
      <c r="H366" s="1" t="s">
        <v>163</v>
      </c>
      <c r="I366">
        <f t="shared" si="31"/>
        <v>12</v>
      </c>
      <c r="J366" t="str">
        <f t="shared" si="32"/>
        <v>Regular</v>
      </c>
      <c r="K366" t="str">
        <f t="shared" si="33"/>
        <v>Promoted</v>
      </c>
      <c r="L366" t="str">
        <f t="shared" si="34"/>
        <v>Known Employee</v>
      </c>
      <c r="M366">
        <f t="shared" si="36"/>
        <v>3</v>
      </c>
      <c r="N366" t="str">
        <f t="shared" si="35"/>
        <v>December</v>
      </c>
    </row>
    <row r="367" spans="1:14" x14ac:dyDescent="0.3">
      <c r="A367" s="2" t="s">
        <v>1129</v>
      </c>
      <c r="B367" t="s">
        <v>249</v>
      </c>
      <c r="C367" s="2" t="s">
        <v>157</v>
      </c>
      <c r="D367" s="2" t="s">
        <v>118</v>
      </c>
      <c r="E367" s="2" t="s">
        <v>54</v>
      </c>
      <c r="F367" s="2" t="s">
        <v>40</v>
      </c>
      <c r="G367" s="3">
        <v>51</v>
      </c>
      <c r="H367" s="1" t="s">
        <v>1130</v>
      </c>
      <c r="I367">
        <f t="shared" si="31"/>
        <v>12</v>
      </c>
      <c r="J367" t="str">
        <f t="shared" si="32"/>
        <v>Regular</v>
      </c>
      <c r="K367" t="str">
        <f t="shared" si="33"/>
        <v>Promoted</v>
      </c>
      <c r="L367" t="str">
        <f t="shared" si="34"/>
        <v>Known Employee</v>
      </c>
      <c r="M367">
        <f t="shared" si="36"/>
        <v>4</v>
      </c>
      <c r="N367" t="str">
        <f t="shared" si="35"/>
        <v>December</v>
      </c>
    </row>
    <row r="368" spans="1:14" x14ac:dyDescent="0.3">
      <c r="A368" s="2" t="s">
        <v>1277</v>
      </c>
      <c r="B368" t="s">
        <v>620</v>
      </c>
      <c r="C368" s="2" t="s">
        <v>53</v>
      </c>
      <c r="D368" s="2" t="s">
        <v>76</v>
      </c>
      <c r="E368" s="2" t="s">
        <v>13</v>
      </c>
      <c r="F368" s="2" t="s">
        <v>25</v>
      </c>
      <c r="G368" s="3">
        <v>80</v>
      </c>
      <c r="H368" s="1" t="s">
        <v>1278</v>
      </c>
      <c r="I368">
        <f t="shared" si="31"/>
        <v>12</v>
      </c>
      <c r="J368" t="str">
        <f t="shared" si="32"/>
        <v>Regular</v>
      </c>
      <c r="K368" t="str">
        <f t="shared" si="33"/>
        <v>Promoted</v>
      </c>
      <c r="L368" t="str">
        <f t="shared" si="34"/>
        <v>Known Employee</v>
      </c>
      <c r="M368">
        <f t="shared" si="36"/>
        <v>4</v>
      </c>
      <c r="N368" t="str">
        <f t="shared" si="35"/>
        <v>December</v>
      </c>
    </row>
    <row r="369" spans="1:14" x14ac:dyDescent="0.3">
      <c r="A369" s="2" t="s">
        <v>1652</v>
      </c>
      <c r="B369" t="s">
        <v>196</v>
      </c>
      <c r="C369" s="2" t="s">
        <v>29</v>
      </c>
      <c r="D369" s="2" t="s">
        <v>49</v>
      </c>
      <c r="E369" s="2" t="s">
        <v>13</v>
      </c>
      <c r="F369" s="2" t="s">
        <v>40</v>
      </c>
      <c r="G369" s="3">
        <v>55</v>
      </c>
      <c r="H369" s="1" t="s">
        <v>1278</v>
      </c>
      <c r="I369">
        <f t="shared" si="31"/>
        <v>12</v>
      </c>
      <c r="J369" t="str">
        <f t="shared" si="32"/>
        <v>Regular</v>
      </c>
      <c r="K369" t="str">
        <f t="shared" si="33"/>
        <v>Promoted</v>
      </c>
      <c r="L369" t="str">
        <f t="shared" si="34"/>
        <v>Known Employee</v>
      </c>
      <c r="M369">
        <f t="shared" si="36"/>
        <v>8</v>
      </c>
      <c r="N369" t="str">
        <f t="shared" si="35"/>
        <v>December</v>
      </c>
    </row>
    <row r="370" spans="1:14" x14ac:dyDescent="0.3">
      <c r="A370" s="2" t="s">
        <v>1607</v>
      </c>
      <c r="B370" t="s">
        <v>82</v>
      </c>
      <c r="C370" s="2" t="s">
        <v>53</v>
      </c>
      <c r="D370" s="2" t="s">
        <v>138</v>
      </c>
      <c r="E370" s="2" t="s">
        <v>1946</v>
      </c>
      <c r="F370" s="2" t="s">
        <v>25</v>
      </c>
      <c r="G370" s="3">
        <v>281.35000000000002</v>
      </c>
      <c r="H370" s="1" t="s">
        <v>1608</v>
      </c>
      <c r="I370">
        <f t="shared" si="31"/>
        <v>12</v>
      </c>
      <c r="J370" t="str">
        <f t="shared" si="32"/>
        <v>Regular</v>
      </c>
      <c r="K370" t="str">
        <f t="shared" si="33"/>
        <v>Not Promoted</v>
      </c>
      <c r="L370" t="str">
        <f t="shared" si="34"/>
        <v>Known Employee</v>
      </c>
      <c r="M370">
        <f t="shared" si="36"/>
        <v>5</v>
      </c>
      <c r="N370" t="str">
        <f t="shared" si="35"/>
        <v>December</v>
      </c>
    </row>
    <row r="371" spans="1:14" x14ac:dyDescent="0.3">
      <c r="A371" s="2" t="s">
        <v>1562</v>
      </c>
      <c r="B371" t="s">
        <v>517</v>
      </c>
      <c r="C371" s="2" t="s">
        <v>29</v>
      </c>
      <c r="D371" s="2" t="s">
        <v>200</v>
      </c>
      <c r="E371" s="2" t="s">
        <v>13</v>
      </c>
      <c r="F371" s="2" t="s">
        <v>14</v>
      </c>
      <c r="G371" s="3">
        <v>551</v>
      </c>
      <c r="H371" s="1" t="s">
        <v>1204</v>
      </c>
      <c r="I371">
        <f t="shared" si="31"/>
        <v>12</v>
      </c>
      <c r="J371" t="str">
        <f t="shared" si="32"/>
        <v>Regular</v>
      </c>
      <c r="K371" t="str">
        <f t="shared" si="33"/>
        <v>Promoted</v>
      </c>
      <c r="L371" t="str">
        <f t="shared" si="34"/>
        <v>Known Employee</v>
      </c>
      <c r="M371">
        <f t="shared" si="36"/>
        <v>5</v>
      </c>
      <c r="N371" t="str">
        <f t="shared" si="35"/>
        <v>December</v>
      </c>
    </row>
    <row r="372" spans="1:14" x14ac:dyDescent="0.3">
      <c r="A372" s="2" t="s">
        <v>1203</v>
      </c>
      <c r="B372" t="s">
        <v>671</v>
      </c>
      <c r="C372" s="2" t="s">
        <v>18</v>
      </c>
      <c r="D372" s="2" t="s">
        <v>23</v>
      </c>
      <c r="E372" s="2" t="s">
        <v>158</v>
      </c>
      <c r="F372" s="2" t="s">
        <v>40</v>
      </c>
      <c r="G372" s="3">
        <v>228</v>
      </c>
      <c r="H372" s="1" t="s">
        <v>1204</v>
      </c>
      <c r="I372">
        <f t="shared" si="31"/>
        <v>12</v>
      </c>
      <c r="J372" t="str">
        <f t="shared" si="32"/>
        <v>Regular</v>
      </c>
      <c r="K372" t="str">
        <f t="shared" si="33"/>
        <v>Promoted</v>
      </c>
      <c r="L372" t="str">
        <f t="shared" si="34"/>
        <v>Known Employee</v>
      </c>
      <c r="M372">
        <f t="shared" si="36"/>
        <v>6</v>
      </c>
      <c r="N372" t="str">
        <f t="shared" si="35"/>
        <v>December</v>
      </c>
    </row>
    <row r="373" spans="1:14" x14ac:dyDescent="0.3">
      <c r="A373" s="2" t="s">
        <v>914</v>
      </c>
      <c r="B373" t="s">
        <v>425</v>
      </c>
      <c r="C373" s="2" t="s">
        <v>18</v>
      </c>
      <c r="D373" s="2" t="s">
        <v>231</v>
      </c>
      <c r="E373" s="2" t="s">
        <v>158</v>
      </c>
      <c r="F373" s="2" t="s">
        <v>65</v>
      </c>
      <c r="G373" s="3">
        <v>494</v>
      </c>
      <c r="H373" s="1" t="s">
        <v>915</v>
      </c>
      <c r="I373">
        <f t="shared" si="31"/>
        <v>12</v>
      </c>
      <c r="J373" t="str">
        <f t="shared" si="32"/>
        <v>Regular</v>
      </c>
      <c r="K373" t="str">
        <f t="shared" si="33"/>
        <v>Promoted</v>
      </c>
      <c r="L373" t="str">
        <f t="shared" si="34"/>
        <v>Known Employee</v>
      </c>
      <c r="M373">
        <f t="shared" si="36"/>
        <v>7</v>
      </c>
      <c r="N373" t="str">
        <f t="shared" si="35"/>
        <v>December</v>
      </c>
    </row>
    <row r="374" spans="1:14" x14ac:dyDescent="0.3">
      <c r="A374" s="2" t="s">
        <v>661</v>
      </c>
      <c r="B374" t="s">
        <v>663</v>
      </c>
      <c r="C374" s="2" t="s">
        <v>35</v>
      </c>
      <c r="D374" s="2" t="s">
        <v>72</v>
      </c>
      <c r="E374" s="2" t="s">
        <v>13</v>
      </c>
      <c r="F374" s="2" t="s">
        <v>65</v>
      </c>
      <c r="G374" s="3">
        <v>160</v>
      </c>
      <c r="H374" s="1" t="s">
        <v>1951</v>
      </c>
      <c r="I374">
        <f t="shared" si="31"/>
        <v>12</v>
      </c>
      <c r="J374" t="str">
        <f t="shared" si="32"/>
        <v>Regular</v>
      </c>
      <c r="K374" t="str">
        <f t="shared" si="33"/>
        <v>Promoted</v>
      </c>
      <c r="L374" t="str">
        <f t="shared" si="34"/>
        <v>Known Employee</v>
      </c>
      <c r="M374">
        <f t="shared" si="36"/>
        <v>6</v>
      </c>
      <c r="N374" t="str">
        <f t="shared" si="35"/>
        <v>December</v>
      </c>
    </row>
    <row r="375" spans="1:14" x14ac:dyDescent="0.3">
      <c r="A375" s="2" t="s">
        <v>153</v>
      </c>
      <c r="B375" t="s">
        <v>155</v>
      </c>
      <c r="C375" s="2" t="s">
        <v>18</v>
      </c>
      <c r="D375" s="2" t="s">
        <v>23</v>
      </c>
      <c r="E375" s="2" t="s">
        <v>13</v>
      </c>
      <c r="F375" s="2" t="s">
        <v>65</v>
      </c>
      <c r="G375" s="3">
        <v>484</v>
      </c>
      <c r="H375" s="1" t="s">
        <v>154</v>
      </c>
      <c r="I375">
        <f t="shared" si="31"/>
        <v>1</v>
      </c>
      <c r="J375" t="str">
        <f t="shared" si="32"/>
        <v>Makar Sankranti</v>
      </c>
      <c r="K375" t="str">
        <f t="shared" si="33"/>
        <v>Promoted</v>
      </c>
      <c r="L375" t="str">
        <f t="shared" si="34"/>
        <v>Known Employee</v>
      </c>
      <c r="M375">
        <f t="shared" si="36"/>
        <v>5</v>
      </c>
      <c r="N375" t="str">
        <f t="shared" si="35"/>
        <v>January</v>
      </c>
    </row>
    <row r="376" spans="1:14" x14ac:dyDescent="0.3">
      <c r="A376" s="2" t="s">
        <v>1569</v>
      </c>
      <c r="B376" t="s">
        <v>671</v>
      </c>
      <c r="C376" s="2" t="s">
        <v>29</v>
      </c>
      <c r="D376" s="2" t="s">
        <v>49</v>
      </c>
      <c r="E376" s="2" t="s">
        <v>13</v>
      </c>
      <c r="F376" s="2" t="s">
        <v>25</v>
      </c>
      <c r="G376" s="3">
        <v>204</v>
      </c>
      <c r="H376" s="1" t="s">
        <v>1570</v>
      </c>
      <c r="I376">
        <f t="shared" si="31"/>
        <v>1</v>
      </c>
      <c r="J376" t="str">
        <f t="shared" si="32"/>
        <v>Makar Sankranti</v>
      </c>
      <c r="K376" t="str">
        <f t="shared" si="33"/>
        <v>Promoted</v>
      </c>
      <c r="L376" t="str">
        <f t="shared" si="34"/>
        <v>Known Employee</v>
      </c>
      <c r="M376">
        <f t="shared" si="36"/>
        <v>6</v>
      </c>
      <c r="N376" t="str">
        <f t="shared" si="35"/>
        <v>January</v>
      </c>
    </row>
    <row r="377" spans="1:14" x14ac:dyDescent="0.3">
      <c r="A377" s="2" t="s">
        <v>525</v>
      </c>
      <c r="B377" t="s">
        <v>527</v>
      </c>
      <c r="C377" s="2" t="s">
        <v>29</v>
      </c>
      <c r="D377" s="2" t="s">
        <v>200</v>
      </c>
      <c r="E377" s="2" t="s">
        <v>13</v>
      </c>
      <c r="F377" s="2" t="s">
        <v>14</v>
      </c>
      <c r="G377" s="3">
        <v>440</v>
      </c>
      <c r="H377" s="1" t="s">
        <v>526</v>
      </c>
      <c r="I377">
        <f t="shared" si="31"/>
        <v>1</v>
      </c>
      <c r="J377" t="str">
        <f t="shared" si="32"/>
        <v>Makar Sankranti</v>
      </c>
      <c r="K377" t="str">
        <f t="shared" si="33"/>
        <v>Promoted</v>
      </c>
      <c r="L377" t="str">
        <f t="shared" si="34"/>
        <v>Known Employee</v>
      </c>
      <c r="M377">
        <f t="shared" si="36"/>
        <v>2</v>
      </c>
      <c r="N377" t="str">
        <f t="shared" si="35"/>
        <v>January</v>
      </c>
    </row>
    <row r="378" spans="1:14" x14ac:dyDescent="0.3">
      <c r="A378" s="2" t="s">
        <v>1453</v>
      </c>
      <c r="B378" t="s">
        <v>313</v>
      </c>
      <c r="C378" s="2" t="s">
        <v>18</v>
      </c>
      <c r="D378" s="2" t="s">
        <v>87</v>
      </c>
      <c r="E378" s="2" t="s">
        <v>13</v>
      </c>
      <c r="F378" s="2" t="s">
        <v>65</v>
      </c>
      <c r="G378" s="3">
        <v>313</v>
      </c>
      <c r="H378" s="1" t="s">
        <v>354</v>
      </c>
      <c r="I378">
        <f t="shared" si="31"/>
        <v>1</v>
      </c>
      <c r="J378" t="str">
        <f t="shared" si="32"/>
        <v>Makar Sankranti</v>
      </c>
      <c r="K378" t="str">
        <f t="shared" si="33"/>
        <v>Promoted</v>
      </c>
      <c r="L378" t="str">
        <f t="shared" si="34"/>
        <v>Known Employee</v>
      </c>
      <c r="M378">
        <f t="shared" si="36"/>
        <v>3</v>
      </c>
      <c r="N378" t="str">
        <f t="shared" si="35"/>
        <v>January</v>
      </c>
    </row>
    <row r="379" spans="1:14" x14ac:dyDescent="0.3">
      <c r="A379" s="2" t="s">
        <v>353</v>
      </c>
      <c r="B379" t="s">
        <v>155</v>
      </c>
      <c r="C379" s="2" t="s">
        <v>35</v>
      </c>
      <c r="D379" s="2" t="s">
        <v>140</v>
      </c>
      <c r="E379" s="2" t="s">
        <v>13</v>
      </c>
      <c r="F379" s="2" t="s">
        <v>25</v>
      </c>
      <c r="G379" s="3">
        <v>615</v>
      </c>
      <c r="H379" s="1" t="s">
        <v>354</v>
      </c>
      <c r="I379">
        <f t="shared" si="31"/>
        <v>1</v>
      </c>
      <c r="J379" t="str">
        <f t="shared" si="32"/>
        <v>Makar Sankranti</v>
      </c>
      <c r="K379" t="str">
        <f t="shared" si="33"/>
        <v>Promoted</v>
      </c>
      <c r="L379" t="str">
        <f t="shared" si="34"/>
        <v>Known Employee</v>
      </c>
      <c r="M379">
        <f t="shared" si="36"/>
        <v>5</v>
      </c>
      <c r="N379" t="str">
        <f t="shared" si="35"/>
        <v>January</v>
      </c>
    </row>
    <row r="380" spans="1:14" x14ac:dyDescent="0.3">
      <c r="A380" s="2" t="s">
        <v>1923</v>
      </c>
      <c r="B380" t="s">
        <v>1164</v>
      </c>
      <c r="C380" s="2" t="s">
        <v>29</v>
      </c>
      <c r="D380" s="2" t="s">
        <v>1245</v>
      </c>
      <c r="E380" s="2" t="s">
        <v>13</v>
      </c>
      <c r="F380" s="2" t="s">
        <v>119</v>
      </c>
      <c r="G380" s="3">
        <v>794</v>
      </c>
      <c r="H380" s="1" t="s">
        <v>1924</v>
      </c>
      <c r="I380">
        <f t="shared" si="31"/>
        <v>1</v>
      </c>
      <c r="J380" t="str">
        <f t="shared" si="32"/>
        <v>Makar Sankranti</v>
      </c>
      <c r="K380" t="str">
        <f t="shared" si="33"/>
        <v>Promoted</v>
      </c>
      <c r="L380" t="str">
        <f t="shared" si="34"/>
        <v>Known Employee</v>
      </c>
      <c r="M380">
        <f t="shared" si="36"/>
        <v>5</v>
      </c>
      <c r="N380" t="str">
        <f t="shared" si="35"/>
        <v>January</v>
      </c>
    </row>
    <row r="381" spans="1:14" x14ac:dyDescent="0.3">
      <c r="A381" s="2" t="s">
        <v>430</v>
      </c>
      <c r="B381" t="s">
        <v>98</v>
      </c>
      <c r="C381" s="2" t="s">
        <v>18</v>
      </c>
      <c r="D381" s="2" t="s">
        <v>12</v>
      </c>
      <c r="E381" s="2" t="s">
        <v>13</v>
      </c>
      <c r="F381" s="2" t="s">
        <v>25</v>
      </c>
      <c r="G381" s="3">
        <v>605</v>
      </c>
      <c r="H381" s="1" t="s">
        <v>431</v>
      </c>
      <c r="I381">
        <f t="shared" si="31"/>
        <v>1</v>
      </c>
      <c r="J381" t="str">
        <f t="shared" si="32"/>
        <v>Makar Sankranti</v>
      </c>
      <c r="K381" t="str">
        <f t="shared" si="33"/>
        <v>Promoted</v>
      </c>
      <c r="L381" t="str">
        <f t="shared" si="34"/>
        <v>Known Employee</v>
      </c>
      <c r="M381">
        <f t="shared" si="36"/>
        <v>5</v>
      </c>
      <c r="N381" t="str">
        <f t="shared" si="35"/>
        <v>January</v>
      </c>
    </row>
    <row r="382" spans="1:14" x14ac:dyDescent="0.3">
      <c r="A382" s="2" t="s">
        <v>1752</v>
      </c>
      <c r="B382" t="s">
        <v>517</v>
      </c>
      <c r="C382" s="2" t="s">
        <v>35</v>
      </c>
      <c r="D382" s="2" t="s">
        <v>44</v>
      </c>
      <c r="E382" s="2" t="s">
        <v>24</v>
      </c>
      <c r="F382" s="2" t="s">
        <v>65</v>
      </c>
      <c r="G382" s="3">
        <v>342</v>
      </c>
      <c r="H382" s="1" t="s">
        <v>1753</v>
      </c>
      <c r="I382">
        <f t="shared" si="31"/>
        <v>1</v>
      </c>
      <c r="J382" t="str">
        <f t="shared" si="32"/>
        <v>Makar Sankranti</v>
      </c>
      <c r="K382" t="str">
        <f t="shared" si="33"/>
        <v>Promoted</v>
      </c>
      <c r="L382" t="str">
        <f t="shared" si="34"/>
        <v>Known Employee</v>
      </c>
      <c r="M382">
        <f t="shared" si="36"/>
        <v>5</v>
      </c>
      <c r="N382" t="str">
        <f t="shared" si="35"/>
        <v>January</v>
      </c>
    </row>
    <row r="383" spans="1:14" x14ac:dyDescent="0.3">
      <c r="A383" s="2" t="s">
        <v>1575</v>
      </c>
      <c r="B383" t="s">
        <v>506</v>
      </c>
      <c r="C383" s="2" t="s">
        <v>18</v>
      </c>
      <c r="D383" s="2" t="s">
        <v>12</v>
      </c>
      <c r="E383" s="2" t="s">
        <v>13</v>
      </c>
      <c r="F383" s="2" t="s">
        <v>25</v>
      </c>
      <c r="G383" s="3">
        <v>490</v>
      </c>
      <c r="H383" s="1" t="s">
        <v>1576</v>
      </c>
      <c r="I383">
        <f t="shared" si="31"/>
        <v>1</v>
      </c>
      <c r="J383" t="str">
        <f t="shared" si="32"/>
        <v>Makar Sankranti</v>
      </c>
      <c r="K383" t="str">
        <f t="shared" si="33"/>
        <v>Promoted</v>
      </c>
      <c r="L383" t="str">
        <f t="shared" si="34"/>
        <v>Known Employee</v>
      </c>
      <c r="M383">
        <f t="shared" si="36"/>
        <v>4</v>
      </c>
      <c r="N383" t="str">
        <f t="shared" si="35"/>
        <v>January</v>
      </c>
    </row>
    <row r="384" spans="1:14" x14ac:dyDescent="0.3">
      <c r="A384" s="2" t="s">
        <v>1121</v>
      </c>
      <c r="B384" t="s">
        <v>290</v>
      </c>
      <c r="C384" s="2" t="s">
        <v>29</v>
      </c>
      <c r="D384" s="2" t="s">
        <v>200</v>
      </c>
      <c r="E384" s="2" t="s">
        <v>13</v>
      </c>
      <c r="F384" s="2" t="s">
        <v>25</v>
      </c>
      <c r="G384" s="3">
        <v>460</v>
      </c>
      <c r="H384" s="1" t="s">
        <v>1122</v>
      </c>
      <c r="I384">
        <f t="shared" si="31"/>
        <v>1</v>
      </c>
      <c r="J384" t="str">
        <f t="shared" si="32"/>
        <v>Makar Sankranti</v>
      </c>
      <c r="K384" t="str">
        <f t="shared" si="33"/>
        <v>Promoted</v>
      </c>
      <c r="L384" t="str">
        <f t="shared" si="34"/>
        <v>Known Employee</v>
      </c>
      <c r="M384">
        <f t="shared" si="36"/>
        <v>1</v>
      </c>
      <c r="N384" t="str">
        <f t="shared" si="35"/>
        <v>January</v>
      </c>
    </row>
    <row r="385" spans="1:14" x14ac:dyDescent="0.3">
      <c r="A385" s="2" t="s">
        <v>220</v>
      </c>
      <c r="B385" t="s">
        <v>79</v>
      </c>
      <c r="C385" s="2" t="s">
        <v>35</v>
      </c>
      <c r="D385" s="2" t="s">
        <v>72</v>
      </c>
      <c r="E385" s="2" t="s">
        <v>64</v>
      </c>
      <c r="F385" s="2" t="s">
        <v>25</v>
      </c>
      <c r="G385" s="3">
        <v>562</v>
      </c>
      <c r="H385" s="1" t="s">
        <v>221</v>
      </c>
      <c r="I385">
        <f t="shared" si="31"/>
        <v>1</v>
      </c>
      <c r="J385" t="str">
        <f t="shared" si="32"/>
        <v>Makar Sankranti</v>
      </c>
      <c r="K385" t="str">
        <f t="shared" si="33"/>
        <v>Promoted</v>
      </c>
      <c r="L385" t="str">
        <f t="shared" si="34"/>
        <v>Known Employee</v>
      </c>
      <c r="M385">
        <f t="shared" si="36"/>
        <v>7</v>
      </c>
      <c r="N385" t="str">
        <f t="shared" si="35"/>
        <v>January</v>
      </c>
    </row>
    <row r="386" spans="1:14" x14ac:dyDescent="0.3">
      <c r="A386" s="2" t="s">
        <v>384</v>
      </c>
      <c r="B386" t="s">
        <v>75</v>
      </c>
      <c r="C386" s="2" t="s">
        <v>18</v>
      </c>
      <c r="D386" s="2" t="s">
        <v>385</v>
      </c>
      <c r="E386" s="2" t="s">
        <v>54</v>
      </c>
      <c r="F386" s="2" t="s">
        <v>14</v>
      </c>
      <c r="G386" s="3">
        <v>522.75</v>
      </c>
      <c r="H386" s="1" t="s">
        <v>221</v>
      </c>
      <c r="I386">
        <f t="shared" ref="I386:I449" si="37">MONTH(H386)</f>
        <v>1</v>
      </c>
      <c r="J386" t="str">
        <f t="shared" ref="J386:J449" si="38">IF(OR(I386=10,I386=11),"Diwali",IF(I386=9,"Navratri",IF(I386=8,"Rakshabandhan",IF(I386=3,"Holi",IF(I386=1,"Makar Sankranti","Regular")))))</f>
        <v>Makar Sankranti</v>
      </c>
      <c r="K386" t="str">
        <f t="shared" ref="K386:K449" si="39" xml:space="preserve"> IF(E386="No Promotion", "Not Promoted", "Promoted")</f>
        <v>Promoted</v>
      </c>
      <c r="L386" t="str">
        <f t="shared" ref="L386:L449" si="40" xml:space="preserve"> IF(D386="Unknown","Employee","Known Employee")</f>
        <v>Known Employee</v>
      </c>
      <c r="M386">
        <f t="shared" si="36"/>
        <v>7</v>
      </c>
      <c r="N386" t="str">
        <f t="shared" si="35"/>
        <v>January</v>
      </c>
    </row>
    <row r="387" spans="1:14" x14ac:dyDescent="0.3">
      <c r="A387" s="2" t="s">
        <v>455</v>
      </c>
      <c r="B387" t="s">
        <v>457</v>
      </c>
      <c r="C387" s="2" t="s">
        <v>18</v>
      </c>
      <c r="D387" s="2" t="s">
        <v>19</v>
      </c>
      <c r="E387" s="2" t="s">
        <v>24</v>
      </c>
      <c r="F387" s="2" t="s">
        <v>1945</v>
      </c>
      <c r="G387" s="3">
        <v>333.9</v>
      </c>
      <c r="H387" s="1" t="s">
        <v>456</v>
      </c>
      <c r="I387">
        <f t="shared" si="37"/>
        <v>1</v>
      </c>
      <c r="J387" t="str">
        <f t="shared" si="38"/>
        <v>Makar Sankranti</v>
      </c>
      <c r="K387" t="str">
        <f t="shared" si="39"/>
        <v>Promoted</v>
      </c>
      <c r="L387" t="str">
        <f t="shared" si="40"/>
        <v>Known Employee</v>
      </c>
      <c r="M387">
        <f t="shared" si="36"/>
        <v>2</v>
      </c>
      <c r="N387" t="str">
        <f t="shared" ref="N387:N450" si="41">TEXT(DATE(2000, I387, 1), "mmmm")</f>
        <v>January</v>
      </c>
    </row>
    <row r="388" spans="1:14" x14ac:dyDescent="0.3">
      <c r="A388" s="2" t="s">
        <v>559</v>
      </c>
      <c r="B388" t="s">
        <v>17</v>
      </c>
      <c r="C388" s="2" t="s">
        <v>18</v>
      </c>
      <c r="D388" s="2" t="s">
        <v>12</v>
      </c>
      <c r="E388" s="2" t="s">
        <v>289</v>
      </c>
      <c r="F388" s="2" t="s">
        <v>65</v>
      </c>
      <c r="G388" s="3">
        <v>418</v>
      </c>
      <c r="H388" s="1" t="s">
        <v>560</v>
      </c>
      <c r="I388">
        <f t="shared" si="37"/>
        <v>1</v>
      </c>
      <c r="J388" t="str">
        <f t="shared" si="38"/>
        <v>Makar Sankranti</v>
      </c>
      <c r="K388" t="str">
        <f t="shared" si="39"/>
        <v>Promoted</v>
      </c>
      <c r="L388" t="str">
        <f t="shared" si="40"/>
        <v>Known Employee</v>
      </c>
      <c r="M388">
        <f t="shared" si="36"/>
        <v>4</v>
      </c>
      <c r="N388" t="str">
        <f t="shared" si="41"/>
        <v>January</v>
      </c>
    </row>
    <row r="389" spans="1:14" x14ac:dyDescent="0.3">
      <c r="A389" s="2" t="s">
        <v>1516</v>
      </c>
      <c r="B389" t="s">
        <v>872</v>
      </c>
      <c r="C389" s="2" t="s">
        <v>157</v>
      </c>
      <c r="D389" s="2" t="s">
        <v>118</v>
      </c>
      <c r="E389" s="2" t="s">
        <v>13</v>
      </c>
      <c r="F389" s="2" t="s">
        <v>14</v>
      </c>
      <c r="G389" s="3">
        <v>110</v>
      </c>
      <c r="H389" s="1" t="s">
        <v>892</v>
      </c>
      <c r="I389">
        <f t="shared" si="37"/>
        <v>1</v>
      </c>
      <c r="J389" t="str">
        <f t="shared" si="38"/>
        <v>Makar Sankranti</v>
      </c>
      <c r="K389" t="str">
        <f t="shared" si="39"/>
        <v>Promoted</v>
      </c>
      <c r="L389" t="str">
        <f t="shared" si="40"/>
        <v>Known Employee</v>
      </c>
      <c r="M389">
        <f t="shared" si="36"/>
        <v>6</v>
      </c>
      <c r="N389" t="str">
        <f t="shared" si="41"/>
        <v>January</v>
      </c>
    </row>
    <row r="390" spans="1:14" x14ac:dyDescent="0.3">
      <c r="A390" s="2" t="s">
        <v>1230</v>
      </c>
      <c r="B390" t="s">
        <v>137</v>
      </c>
      <c r="C390" s="2" t="s">
        <v>18</v>
      </c>
      <c r="D390" s="2" t="s">
        <v>23</v>
      </c>
      <c r="E390" s="2" t="s">
        <v>13</v>
      </c>
      <c r="F390" s="2" t="s">
        <v>40</v>
      </c>
      <c r="G390" s="3">
        <v>230</v>
      </c>
      <c r="H390" s="1" t="s">
        <v>892</v>
      </c>
      <c r="I390">
        <f t="shared" si="37"/>
        <v>1</v>
      </c>
      <c r="J390" t="str">
        <f t="shared" si="38"/>
        <v>Makar Sankranti</v>
      </c>
      <c r="K390" t="str">
        <f t="shared" si="39"/>
        <v>Promoted</v>
      </c>
      <c r="L390" t="str">
        <f t="shared" si="40"/>
        <v>Known Employee</v>
      </c>
      <c r="M390">
        <f t="shared" si="36"/>
        <v>7</v>
      </c>
      <c r="N390" t="str">
        <f t="shared" si="41"/>
        <v>January</v>
      </c>
    </row>
    <row r="391" spans="1:14" x14ac:dyDescent="0.3">
      <c r="A391" s="2" t="s">
        <v>891</v>
      </c>
      <c r="B391" t="s">
        <v>381</v>
      </c>
      <c r="C391" s="2" t="s">
        <v>35</v>
      </c>
      <c r="D391" s="2" t="s">
        <v>140</v>
      </c>
      <c r="E391" s="2" t="s">
        <v>13</v>
      </c>
      <c r="F391" s="2" t="s">
        <v>40</v>
      </c>
      <c r="G391" s="3">
        <v>351</v>
      </c>
      <c r="H391" s="1" t="s">
        <v>892</v>
      </c>
      <c r="I391">
        <f t="shared" si="37"/>
        <v>1</v>
      </c>
      <c r="J391" t="str">
        <f t="shared" si="38"/>
        <v>Makar Sankranti</v>
      </c>
      <c r="K391" t="str">
        <f t="shared" si="39"/>
        <v>Promoted</v>
      </c>
      <c r="L391" t="str">
        <f t="shared" si="40"/>
        <v>Known Employee</v>
      </c>
      <c r="M391">
        <f t="shared" si="36"/>
        <v>5</v>
      </c>
      <c r="N391" t="str">
        <f t="shared" si="41"/>
        <v>January</v>
      </c>
    </row>
    <row r="392" spans="1:14" x14ac:dyDescent="0.3">
      <c r="A392" s="2" t="s">
        <v>818</v>
      </c>
      <c r="B392" t="s">
        <v>86</v>
      </c>
      <c r="C392" s="2" t="s">
        <v>53</v>
      </c>
      <c r="D392" s="2" t="s">
        <v>118</v>
      </c>
      <c r="E392" s="2" t="s">
        <v>54</v>
      </c>
      <c r="F392" s="2" t="s">
        <v>25</v>
      </c>
      <c r="G392" s="3">
        <v>382.5</v>
      </c>
      <c r="H392" s="1" t="s">
        <v>819</v>
      </c>
      <c r="I392">
        <f t="shared" si="37"/>
        <v>2</v>
      </c>
      <c r="J392" t="str">
        <f t="shared" si="38"/>
        <v>Regular</v>
      </c>
      <c r="K392" t="str">
        <f t="shared" si="39"/>
        <v>Promoted</v>
      </c>
      <c r="L392" t="str">
        <f t="shared" si="40"/>
        <v>Known Employee</v>
      </c>
      <c r="M392">
        <f t="shared" si="36"/>
        <v>5</v>
      </c>
      <c r="N392" t="str">
        <f t="shared" si="41"/>
        <v>February</v>
      </c>
    </row>
    <row r="393" spans="1:14" x14ac:dyDescent="0.3">
      <c r="A393" s="2" t="s">
        <v>887</v>
      </c>
      <c r="B393" t="s">
        <v>888</v>
      </c>
      <c r="C393" s="2" t="s">
        <v>18</v>
      </c>
      <c r="D393" s="2" t="s">
        <v>19</v>
      </c>
      <c r="E393" s="2" t="s">
        <v>24</v>
      </c>
      <c r="F393" s="2" t="s">
        <v>65</v>
      </c>
      <c r="G393" s="3">
        <v>238.5</v>
      </c>
      <c r="H393" s="1" t="s">
        <v>575</v>
      </c>
      <c r="I393">
        <f t="shared" si="37"/>
        <v>2</v>
      </c>
      <c r="J393" t="str">
        <f t="shared" si="38"/>
        <v>Regular</v>
      </c>
      <c r="K393" t="str">
        <f t="shared" si="39"/>
        <v>Promoted</v>
      </c>
      <c r="L393" t="str">
        <f t="shared" si="40"/>
        <v>Known Employee</v>
      </c>
      <c r="M393">
        <f t="shared" si="36"/>
        <v>2</v>
      </c>
      <c r="N393" t="str">
        <f t="shared" si="41"/>
        <v>February</v>
      </c>
    </row>
    <row r="394" spans="1:14" x14ac:dyDescent="0.3">
      <c r="A394" s="2" t="s">
        <v>1402</v>
      </c>
      <c r="B394" t="s">
        <v>930</v>
      </c>
      <c r="C394" s="2" t="s">
        <v>35</v>
      </c>
      <c r="D394" s="2" t="s">
        <v>44</v>
      </c>
      <c r="E394" s="2" t="s">
        <v>13</v>
      </c>
      <c r="F394" s="2" t="s">
        <v>25</v>
      </c>
      <c r="G394" s="3">
        <v>600</v>
      </c>
      <c r="H394" s="1" t="s">
        <v>1403</v>
      </c>
      <c r="I394">
        <f t="shared" si="37"/>
        <v>2</v>
      </c>
      <c r="J394" t="str">
        <f t="shared" si="38"/>
        <v>Regular</v>
      </c>
      <c r="K394" t="str">
        <f t="shared" si="39"/>
        <v>Promoted</v>
      </c>
      <c r="L394" t="str">
        <f t="shared" si="40"/>
        <v>Known Employee</v>
      </c>
      <c r="M394">
        <f t="shared" ref="M394:M457" si="42">COUNTIF($B$1:$B$805, B394)</f>
        <v>4</v>
      </c>
      <c r="N394" t="str">
        <f t="shared" si="41"/>
        <v>February</v>
      </c>
    </row>
    <row r="395" spans="1:14" x14ac:dyDescent="0.3">
      <c r="A395" s="2" t="s">
        <v>1427</v>
      </c>
      <c r="B395" t="s">
        <v>681</v>
      </c>
      <c r="C395" s="2" t="s">
        <v>29</v>
      </c>
      <c r="D395" s="2" t="s">
        <v>30</v>
      </c>
      <c r="E395" s="2" t="s">
        <v>54</v>
      </c>
      <c r="F395" s="2" t="s">
        <v>25</v>
      </c>
      <c r="G395" s="3">
        <v>374</v>
      </c>
      <c r="H395" s="1" t="s">
        <v>1428</v>
      </c>
      <c r="I395">
        <f t="shared" si="37"/>
        <v>2</v>
      </c>
      <c r="J395" t="str">
        <f t="shared" si="38"/>
        <v>Regular</v>
      </c>
      <c r="K395" t="str">
        <f t="shared" si="39"/>
        <v>Promoted</v>
      </c>
      <c r="L395" t="str">
        <f t="shared" si="40"/>
        <v>Known Employee</v>
      </c>
      <c r="M395">
        <f t="shared" si="42"/>
        <v>4</v>
      </c>
      <c r="N395" t="str">
        <f t="shared" si="41"/>
        <v>February</v>
      </c>
    </row>
    <row r="396" spans="1:14" x14ac:dyDescent="0.3">
      <c r="A396" s="2" t="s">
        <v>548</v>
      </c>
      <c r="B396" t="s">
        <v>550</v>
      </c>
      <c r="C396" s="2" t="s">
        <v>53</v>
      </c>
      <c r="D396" s="2" t="s">
        <v>83</v>
      </c>
      <c r="E396" s="2" t="s">
        <v>24</v>
      </c>
      <c r="F396" s="2" t="s">
        <v>14</v>
      </c>
      <c r="G396" s="3">
        <v>61.2</v>
      </c>
      <c r="H396" s="1" t="s">
        <v>549</v>
      </c>
      <c r="I396">
        <f t="shared" si="37"/>
        <v>2</v>
      </c>
      <c r="J396" t="str">
        <f t="shared" si="38"/>
        <v>Regular</v>
      </c>
      <c r="K396" t="str">
        <f t="shared" si="39"/>
        <v>Promoted</v>
      </c>
      <c r="L396" t="str">
        <f t="shared" si="40"/>
        <v>Known Employee</v>
      </c>
      <c r="M396">
        <f t="shared" si="42"/>
        <v>2</v>
      </c>
      <c r="N396" t="str">
        <f t="shared" si="41"/>
        <v>February</v>
      </c>
    </row>
    <row r="397" spans="1:14" x14ac:dyDescent="0.3">
      <c r="A397" s="2" t="s">
        <v>1604</v>
      </c>
      <c r="B397" t="s">
        <v>503</v>
      </c>
      <c r="C397" s="2" t="s">
        <v>35</v>
      </c>
      <c r="D397" s="2" t="s">
        <v>44</v>
      </c>
      <c r="E397" s="2" t="s">
        <v>13</v>
      </c>
      <c r="F397" s="2" t="s">
        <v>14</v>
      </c>
      <c r="G397" s="3">
        <v>276</v>
      </c>
      <c r="H397" s="1" t="s">
        <v>549</v>
      </c>
      <c r="I397">
        <f t="shared" si="37"/>
        <v>2</v>
      </c>
      <c r="J397" t="str">
        <f t="shared" si="38"/>
        <v>Regular</v>
      </c>
      <c r="K397" t="str">
        <f t="shared" si="39"/>
        <v>Promoted</v>
      </c>
      <c r="L397" t="str">
        <f t="shared" si="40"/>
        <v>Known Employee</v>
      </c>
      <c r="M397">
        <f t="shared" si="42"/>
        <v>5</v>
      </c>
      <c r="N397" t="str">
        <f t="shared" si="41"/>
        <v>February</v>
      </c>
    </row>
    <row r="398" spans="1:14" x14ac:dyDescent="0.3">
      <c r="A398" s="2" t="s">
        <v>1315</v>
      </c>
      <c r="B398" t="s">
        <v>1316</v>
      </c>
      <c r="C398" s="2" t="s">
        <v>35</v>
      </c>
      <c r="D398" s="2" t="s">
        <v>72</v>
      </c>
      <c r="E398" s="2" t="s">
        <v>54</v>
      </c>
      <c r="F398" s="2" t="s">
        <v>65</v>
      </c>
      <c r="G398" s="3">
        <v>319.60000000000002</v>
      </c>
      <c r="H398" s="1" t="s">
        <v>1124</v>
      </c>
      <c r="I398">
        <f t="shared" si="37"/>
        <v>3</v>
      </c>
      <c r="J398" t="str">
        <f t="shared" si="38"/>
        <v>Holi</v>
      </c>
      <c r="K398" t="str">
        <f t="shared" si="39"/>
        <v>Promoted</v>
      </c>
      <c r="L398" t="str">
        <f t="shared" si="40"/>
        <v>Known Employee</v>
      </c>
      <c r="M398">
        <f t="shared" si="42"/>
        <v>3</v>
      </c>
      <c r="N398" t="str">
        <f t="shared" si="41"/>
        <v>March</v>
      </c>
    </row>
    <row r="399" spans="1:14" x14ac:dyDescent="0.3">
      <c r="A399" s="2" t="s">
        <v>1123</v>
      </c>
      <c r="B399" t="s">
        <v>60</v>
      </c>
      <c r="C399" s="2" t="s">
        <v>29</v>
      </c>
      <c r="D399" s="2" t="s">
        <v>49</v>
      </c>
      <c r="E399" s="2" t="s">
        <v>24</v>
      </c>
      <c r="F399" s="2" t="s">
        <v>40</v>
      </c>
      <c r="G399" s="3">
        <v>175.5</v>
      </c>
      <c r="H399" s="1" t="s">
        <v>1124</v>
      </c>
      <c r="I399">
        <f t="shared" si="37"/>
        <v>3</v>
      </c>
      <c r="J399" t="str">
        <f t="shared" si="38"/>
        <v>Holi</v>
      </c>
      <c r="K399" t="str">
        <f t="shared" si="39"/>
        <v>Promoted</v>
      </c>
      <c r="L399" t="str">
        <f t="shared" si="40"/>
        <v>Known Employee</v>
      </c>
      <c r="M399">
        <f t="shared" si="42"/>
        <v>1</v>
      </c>
      <c r="N399" t="str">
        <f t="shared" si="41"/>
        <v>March</v>
      </c>
    </row>
    <row r="400" spans="1:14" x14ac:dyDescent="0.3">
      <c r="A400" s="2" t="s">
        <v>1353</v>
      </c>
      <c r="B400" t="s">
        <v>224</v>
      </c>
      <c r="C400" s="2" t="s">
        <v>29</v>
      </c>
      <c r="D400" s="2" t="s">
        <v>30</v>
      </c>
      <c r="E400" s="2" t="s">
        <v>13</v>
      </c>
      <c r="F400" s="2" t="s">
        <v>14</v>
      </c>
      <c r="G400" s="3">
        <v>520</v>
      </c>
      <c r="H400" s="1" t="s">
        <v>1354</v>
      </c>
      <c r="I400">
        <f t="shared" si="37"/>
        <v>3</v>
      </c>
      <c r="J400" t="str">
        <f t="shared" si="38"/>
        <v>Holi</v>
      </c>
      <c r="K400" t="str">
        <f t="shared" si="39"/>
        <v>Promoted</v>
      </c>
      <c r="L400" t="str">
        <f t="shared" si="40"/>
        <v>Known Employee</v>
      </c>
      <c r="M400">
        <f t="shared" si="42"/>
        <v>4</v>
      </c>
      <c r="N400" t="str">
        <f t="shared" si="41"/>
        <v>March</v>
      </c>
    </row>
    <row r="401" spans="1:14" x14ac:dyDescent="0.3">
      <c r="A401" s="2" t="s">
        <v>1937</v>
      </c>
      <c r="B401" t="s">
        <v>1938</v>
      </c>
      <c r="C401" s="2" t="s">
        <v>29</v>
      </c>
      <c r="D401" s="2" t="s">
        <v>49</v>
      </c>
      <c r="E401" s="2" t="s">
        <v>54</v>
      </c>
      <c r="F401" s="2" t="s">
        <v>65</v>
      </c>
      <c r="G401" s="3">
        <v>640.9</v>
      </c>
      <c r="H401" s="1" t="s">
        <v>1083</v>
      </c>
      <c r="I401">
        <f t="shared" si="37"/>
        <v>3</v>
      </c>
      <c r="J401" t="str">
        <f t="shared" si="38"/>
        <v>Holi</v>
      </c>
      <c r="K401" t="str">
        <f t="shared" si="39"/>
        <v>Promoted</v>
      </c>
      <c r="L401" t="str">
        <f t="shared" si="40"/>
        <v>Known Employee</v>
      </c>
      <c r="M401">
        <f t="shared" si="42"/>
        <v>1</v>
      </c>
      <c r="N401" t="str">
        <f t="shared" si="41"/>
        <v>March</v>
      </c>
    </row>
    <row r="402" spans="1:14" x14ac:dyDescent="0.3">
      <c r="A402" s="2" t="s">
        <v>1779</v>
      </c>
      <c r="B402" t="s">
        <v>1191</v>
      </c>
      <c r="C402" s="2" t="s">
        <v>11</v>
      </c>
      <c r="D402" s="2" t="s">
        <v>12</v>
      </c>
      <c r="E402" s="2" t="s">
        <v>54</v>
      </c>
      <c r="F402" s="2" t="s">
        <v>1945</v>
      </c>
      <c r="G402" s="3">
        <v>204</v>
      </c>
      <c r="H402" s="1" t="s">
        <v>1083</v>
      </c>
      <c r="I402">
        <f t="shared" si="37"/>
        <v>3</v>
      </c>
      <c r="J402" t="str">
        <f t="shared" si="38"/>
        <v>Holi</v>
      </c>
      <c r="K402" t="str">
        <f t="shared" si="39"/>
        <v>Promoted</v>
      </c>
      <c r="L402" t="str">
        <f t="shared" si="40"/>
        <v>Known Employee</v>
      </c>
      <c r="M402">
        <f t="shared" si="42"/>
        <v>4</v>
      </c>
      <c r="N402" t="str">
        <f t="shared" si="41"/>
        <v>March</v>
      </c>
    </row>
    <row r="403" spans="1:14" x14ac:dyDescent="0.3">
      <c r="A403" s="2" t="s">
        <v>1082</v>
      </c>
      <c r="B403" t="s">
        <v>174</v>
      </c>
      <c r="C403" s="2" t="s">
        <v>18</v>
      </c>
      <c r="D403" s="2" t="s">
        <v>23</v>
      </c>
      <c r="E403" s="2" t="s">
        <v>54</v>
      </c>
      <c r="F403" s="2" t="s">
        <v>40</v>
      </c>
      <c r="G403" s="3">
        <v>302.60000000000002</v>
      </c>
      <c r="H403" s="1" t="s">
        <v>1083</v>
      </c>
      <c r="I403">
        <f t="shared" si="37"/>
        <v>3</v>
      </c>
      <c r="J403" t="str">
        <f t="shared" si="38"/>
        <v>Holi</v>
      </c>
      <c r="K403" t="str">
        <f t="shared" si="39"/>
        <v>Promoted</v>
      </c>
      <c r="L403" t="str">
        <f t="shared" si="40"/>
        <v>Known Employee</v>
      </c>
      <c r="M403">
        <f t="shared" si="42"/>
        <v>9</v>
      </c>
      <c r="N403" t="str">
        <f t="shared" si="41"/>
        <v>March</v>
      </c>
    </row>
    <row r="404" spans="1:14" x14ac:dyDescent="0.3">
      <c r="A404" s="2" t="s">
        <v>1084</v>
      </c>
      <c r="B404" t="s">
        <v>174</v>
      </c>
      <c r="C404" s="2" t="s">
        <v>18</v>
      </c>
      <c r="D404" s="2" t="s">
        <v>23</v>
      </c>
      <c r="E404" s="2" t="s">
        <v>54</v>
      </c>
      <c r="F404" s="2" t="s">
        <v>40</v>
      </c>
      <c r="G404" s="3">
        <v>302.60000000000002</v>
      </c>
      <c r="H404" s="1" t="s">
        <v>1083</v>
      </c>
      <c r="I404">
        <f t="shared" si="37"/>
        <v>3</v>
      </c>
      <c r="J404" t="str">
        <f t="shared" si="38"/>
        <v>Holi</v>
      </c>
      <c r="K404" t="str">
        <f t="shared" si="39"/>
        <v>Promoted</v>
      </c>
      <c r="L404" t="str">
        <f t="shared" si="40"/>
        <v>Known Employee</v>
      </c>
      <c r="M404">
        <f t="shared" si="42"/>
        <v>9</v>
      </c>
      <c r="N404" t="str">
        <f t="shared" si="41"/>
        <v>March</v>
      </c>
    </row>
    <row r="405" spans="1:14" x14ac:dyDescent="0.3">
      <c r="A405" s="2" t="s">
        <v>1736</v>
      </c>
      <c r="B405" t="s">
        <v>1316</v>
      </c>
      <c r="C405" s="2" t="s">
        <v>18</v>
      </c>
      <c r="D405" s="2" t="s">
        <v>23</v>
      </c>
      <c r="E405" s="2" t="s">
        <v>13</v>
      </c>
      <c r="F405" s="2" t="s">
        <v>40</v>
      </c>
      <c r="G405" s="3">
        <v>567</v>
      </c>
      <c r="H405" s="1" t="s">
        <v>1737</v>
      </c>
      <c r="I405">
        <f t="shared" si="37"/>
        <v>3</v>
      </c>
      <c r="J405" t="str">
        <f t="shared" si="38"/>
        <v>Holi</v>
      </c>
      <c r="K405" t="str">
        <f t="shared" si="39"/>
        <v>Promoted</v>
      </c>
      <c r="L405" t="str">
        <f t="shared" si="40"/>
        <v>Known Employee</v>
      </c>
      <c r="M405">
        <f t="shared" si="42"/>
        <v>3</v>
      </c>
      <c r="N405" t="str">
        <f t="shared" si="41"/>
        <v>March</v>
      </c>
    </row>
    <row r="406" spans="1:14" x14ac:dyDescent="0.3">
      <c r="A406" s="2" t="s">
        <v>722</v>
      </c>
      <c r="B406" t="s">
        <v>52</v>
      </c>
      <c r="C406" s="2" t="s">
        <v>246</v>
      </c>
      <c r="D406" s="2" t="s">
        <v>340</v>
      </c>
      <c r="E406" s="2" t="s">
        <v>13</v>
      </c>
      <c r="F406" s="2" t="s">
        <v>25</v>
      </c>
      <c r="G406" s="3">
        <v>448</v>
      </c>
      <c r="H406" s="1" t="s">
        <v>723</v>
      </c>
      <c r="I406">
        <f t="shared" si="37"/>
        <v>3</v>
      </c>
      <c r="J406" t="str">
        <f t="shared" si="38"/>
        <v>Holi</v>
      </c>
      <c r="K406" t="str">
        <f t="shared" si="39"/>
        <v>Promoted</v>
      </c>
      <c r="L406" t="str">
        <f t="shared" si="40"/>
        <v>Known Employee</v>
      </c>
      <c r="M406">
        <f t="shared" si="42"/>
        <v>4</v>
      </c>
      <c r="N406" t="str">
        <f t="shared" si="41"/>
        <v>March</v>
      </c>
    </row>
    <row r="407" spans="1:14" x14ac:dyDescent="0.3">
      <c r="A407" s="2" t="s">
        <v>1252</v>
      </c>
      <c r="B407" t="s">
        <v>1254</v>
      </c>
      <c r="C407" s="2" t="s">
        <v>18</v>
      </c>
      <c r="D407" s="2" t="s">
        <v>12</v>
      </c>
      <c r="E407" s="2" t="s">
        <v>54</v>
      </c>
      <c r="F407" s="2" t="s">
        <v>65</v>
      </c>
      <c r="G407" s="3">
        <v>472.6</v>
      </c>
      <c r="H407" s="1" t="s">
        <v>1253</v>
      </c>
      <c r="I407">
        <f t="shared" si="37"/>
        <v>3</v>
      </c>
      <c r="J407" t="str">
        <f t="shared" si="38"/>
        <v>Holi</v>
      </c>
      <c r="K407" t="str">
        <f t="shared" si="39"/>
        <v>Promoted</v>
      </c>
      <c r="L407" t="str">
        <f t="shared" si="40"/>
        <v>Known Employee</v>
      </c>
      <c r="M407">
        <f t="shared" si="42"/>
        <v>2</v>
      </c>
      <c r="N407" t="str">
        <f t="shared" si="41"/>
        <v>March</v>
      </c>
    </row>
    <row r="408" spans="1:14" x14ac:dyDescent="0.3">
      <c r="A408" s="2" t="s">
        <v>1628</v>
      </c>
      <c r="B408" t="s">
        <v>1077</v>
      </c>
      <c r="C408" s="2" t="s">
        <v>35</v>
      </c>
      <c r="D408" s="2" t="s">
        <v>44</v>
      </c>
      <c r="E408" s="2" t="s">
        <v>54</v>
      </c>
      <c r="F408" s="2" t="s">
        <v>40</v>
      </c>
      <c r="G408" s="3">
        <v>102</v>
      </c>
      <c r="H408" s="1" t="s">
        <v>1629</v>
      </c>
      <c r="I408">
        <f t="shared" si="37"/>
        <v>3</v>
      </c>
      <c r="J408" t="str">
        <f t="shared" si="38"/>
        <v>Holi</v>
      </c>
      <c r="K408" t="str">
        <f t="shared" si="39"/>
        <v>Promoted</v>
      </c>
      <c r="L408" t="str">
        <f t="shared" si="40"/>
        <v>Known Employee</v>
      </c>
      <c r="M408">
        <f t="shared" si="42"/>
        <v>3</v>
      </c>
      <c r="N408" t="str">
        <f t="shared" si="41"/>
        <v>March</v>
      </c>
    </row>
    <row r="409" spans="1:14" x14ac:dyDescent="0.3">
      <c r="A409" s="2" t="s">
        <v>1211</v>
      </c>
      <c r="B409" t="s">
        <v>303</v>
      </c>
      <c r="C409" s="2" t="s">
        <v>18</v>
      </c>
      <c r="D409" s="2" t="s">
        <v>23</v>
      </c>
      <c r="E409" s="2" t="s">
        <v>13</v>
      </c>
      <c r="F409" s="2" t="s">
        <v>25</v>
      </c>
      <c r="G409" s="3">
        <v>204</v>
      </c>
      <c r="H409" s="1" t="s">
        <v>1212</v>
      </c>
      <c r="I409">
        <f t="shared" si="37"/>
        <v>3</v>
      </c>
      <c r="J409" t="str">
        <f t="shared" si="38"/>
        <v>Holi</v>
      </c>
      <c r="K409" t="str">
        <f t="shared" si="39"/>
        <v>Promoted</v>
      </c>
      <c r="L409" t="str">
        <f t="shared" si="40"/>
        <v>Known Employee</v>
      </c>
      <c r="M409">
        <f t="shared" si="42"/>
        <v>7</v>
      </c>
      <c r="N409" t="str">
        <f t="shared" si="41"/>
        <v>March</v>
      </c>
    </row>
    <row r="410" spans="1:14" x14ac:dyDescent="0.3">
      <c r="A410" s="2" t="s">
        <v>931</v>
      </c>
      <c r="B410" t="s">
        <v>760</v>
      </c>
      <c r="C410" s="2" t="s">
        <v>157</v>
      </c>
      <c r="D410" s="2" t="s">
        <v>104</v>
      </c>
      <c r="E410" s="2" t="s">
        <v>13</v>
      </c>
      <c r="F410" s="2" t="s">
        <v>40</v>
      </c>
      <c r="G410" s="3">
        <v>491</v>
      </c>
      <c r="H410" s="1" t="s">
        <v>102</v>
      </c>
      <c r="I410">
        <f t="shared" si="37"/>
        <v>3</v>
      </c>
      <c r="J410" t="str">
        <f t="shared" si="38"/>
        <v>Holi</v>
      </c>
      <c r="K410" t="str">
        <f t="shared" si="39"/>
        <v>Promoted</v>
      </c>
      <c r="L410" t="str">
        <f t="shared" si="40"/>
        <v>Known Employee</v>
      </c>
      <c r="M410">
        <f t="shared" si="42"/>
        <v>4</v>
      </c>
      <c r="N410" t="str">
        <f t="shared" si="41"/>
        <v>March</v>
      </c>
    </row>
    <row r="411" spans="1:14" x14ac:dyDescent="0.3">
      <c r="A411" s="2" t="s">
        <v>101</v>
      </c>
      <c r="B411" t="s">
        <v>103</v>
      </c>
      <c r="C411" s="2" t="s">
        <v>53</v>
      </c>
      <c r="D411" s="2" t="s">
        <v>104</v>
      </c>
      <c r="E411" s="2" t="s">
        <v>64</v>
      </c>
      <c r="F411" s="2" t="s">
        <v>14</v>
      </c>
      <c r="G411" s="3">
        <v>645</v>
      </c>
      <c r="H411" s="1" t="s">
        <v>102</v>
      </c>
      <c r="I411">
        <f t="shared" si="37"/>
        <v>3</v>
      </c>
      <c r="J411" t="str">
        <f t="shared" si="38"/>
        <v>Holi</v>
      </c>
      <c r="K411" t="str">
        <f t="shared" si="39"/>
        <v>Promoted</v>
      </c>
      <c r="L411" t="str">
        <f t="shared" si="40"/>
        <v>Known Employee</v>
      </c>
      <c r="M411">
        <f t="shared" si="42"/>
        <v>4</v>
      </c>
      <c r="N411" t="str">
        <f t="shared" si="41"/>
        <v>March</v>
      </c>
    </row>
    <row r="412" spans="1:14" x14ac:dyDescent="0.3">
      <c r="A412" s="2" t="s">
        <v>129</v>
      </c>
      <c r="B412" t="s">
        <v>131</v>
      </c>
      <c r="C412" s="2" t="s">
        <v>18</v>
      </c>
      <c r="D412" s="2" t="s">
        <v>23</v>
      </c>
      <c r="E412" s="2" t="s">
        <v>13</v>
      </c>
      <c r="F412" s="2" t="s">
        <v>65</v>
      </c>
      <c r="G412" s="3">
        <v>355</v>
      </c>
      <c r="H412" s="1" t="s">
        <v>130</v>
      </c>
      <c r="I412">
        <f t="shared" si="37"/>
        <v>3</v>
      </c>
      <c r="J412" t="str">
        <f t="shared" si="38"/>
        <v>Holi</v>
      </c>
      <c r="K412" t="str">
        <f t="shared" si="39"/>
        <v>Promoted</v>
      </c>
      <c r="L412" t="str">
        <f t="shared" si="40"/>
        <v>Known Employee</v>
      </c>
      <c r="M412">
        <f t="shared" si="42"/>
        <v>4</v>
      </c>
      <c r="N412" t="str">
        <f t="shared" si="41"/>
        <v>March</v>
      </c>
    </row>
    <row r="413" spans="1:14" x14ac:dyDescent="0.3">
      <c r="A413" s="2" t="s">
        <v>844</v>
      </c>
      <c r="B413" t="s">
        <v>343</v>
      </c>
      <c r="C413" s="2" t="s">
        <v>53</v>
      </c>
      <c r="D413" s="2" t="s">
        <v>83</v>
      </c>
      <c r="E413" s="2" t="s">
        <v>1946</v>
      </c>
      <c r="F413" s="2" t="s">
        <v>25</v>
      </c>
      <c r="G413" s="3">
        <v>232.75</v>
      </c>
      <c r="H413" s="1" t="s">
        <v>130</v>
      </c>
      <c r="I413">
        <f t="shared" si="37"/>
        <v>3</v>
      </c>
      <c r="J413" t="str">
        <f t="shared" si="38"/>
        <v>Holi</v>
      </c>
      <c r="K413" t="str">
        <f t="shared" si="39"/>
        <v>Not Promoted</v>
      </c>
      <c r="L413" t="str">
        <f t="shared" si="40"/>
        <v>Known Employee</v>
      </c>
      <c r="M413">
        <f t="shared" si="42"/>
        <v>7</v>
      </c>
      <c r="N413" t="str">
        <f t="shared" si="41"/>
        <v>March</v>
      </c>
    </row>
    <row r="414" spans="1:14" x14ac:dyDescent="0.3">
      <c r="A414" s="2" t="s">
        <v>1799</v>
      </c>
      <c r="B414" t="s">
        <v>668</v>
      </c>
      <c r="C414" s="2" t="s">
        <v>53</v>
      </c>
      <c r="D414" s="2" t="s">
        <v>138</v>
      </c>
      <c r="E414" s="2" t="s">
        <v>13</v>
      </c>
      <c r="F414" s="2" t="s">
        <v>14</v>
      </c>
      <c r="G414" s="3">
        <v>180</v>
      </c>
      <c r="H414" s="1" t="s">
        <v>1800</v>
      </c>
      <c r="I414">
        <f t="shared" si="37"/>
        <v>3</v>
      </c>
      <c r="J414" t="str">
        <f t="shared" si="38"/>
        <v>Holi</v>
      </c>
      <c r="K414" t="str">
        <f t="shared" si="39"/>
        <v>Promoted</v>
      </c>
      <c r="L414" t="str">
        <f t="shared" si="40"/>
        <v>Known Employee</v>
      </c>
      <c r="M414">
        <f t="shared" si="42"/>
        <v>4</v>
      </c>
      <c r="N414" t="str">
        <f t="shared" si="41"/>
        <v>March</v>
      </c>
    </row>
    <row r="415" spans="1:14" x14ac:dyDescent="0.3">
      <c r="A415" s="2" t="s">
        <v>1876</v>
      </c>
      <c r="B415" t="s">
        <v>152</v>
      </c>
      <c r="C415" s="2" t="s">
        <v>18</v>
      </c>
      <c r="D415" s="2" t="s">
        <v>23</v>
      </c>
      <c r="E415" s="2" t="s">
        <v>13</v>
      </c>
      <c r="F415" s="2" t="s">
        <v>14</v>
      </c>
      <c r="G415" s="3">
        <v>170</v>
      </c>
      <c r="H415" s="1" t="s">
        <v>1877</v>
      </c>
      <c r="I415">
        <f t="shared" si="37"/>
        <v>3</v>
      </c>
      <c r="J415" t="str">
        <f t="shared" si="38"/>
        <v>Holi</v>
      </c>
      <c r="K415" t="str">
        <f t="shared" si="39"/>
        <v>Promoted</v>
      </c>
      <c r="L415" t="str">
        <f t="shared" si="40"/>
        <v>Known Employee</v>
      </c>
      <c r="M415">
        <f t="shared" si="42"/>
        <v>4</v>
      </c>
      <c r="N415" t="str">
        <f t="shared" si="41"/>
        <v>March</v>
      </c>
    </row>
    <row r="416" spans="1:14" x14ac:dyDescent="0.3">
      <c r="A416" s="2" t="s">
        <v>1024</v>
      </c>
      <c r="B416" t="s">
        <v>647</v>
      </c>
      <c r="C416" s="2" t="s">
        <v>1945</v>
      </c>
      <c r="D416" s="2" t="s">
        <v>1945</v>
      </c>
      <c r="E416" s="2" t="s">
        <v>13</v>
      </c>
      <c r="F416" s="2" t="s">
        <v>65</v>
      </c>
      <c r="G416" s="3">
        <v>123</v>
      </c>
      <c r="H416" s="1" t="s">
        <v>1025</v>
      </c>
      <c r="I416">
        <f t="shared" si="37"/>
        <v>3</v>
      </c>
      <c r="J416" t="str">
        <f t="shared" si="38"/>
        <v>Holi</v>
      </c>
      <c r="K416" t="str">
        <f t="shared" si="39"/>
        <v>Promoted</v>
      </c>
      <c r="L416" t="str">
        <f t="shared" si="40"/>
        <v>Employee</v>
      </c>
      <c r="M416">
        <f t="shared" si="42"/>
        <v>3</v>
      </c>
      <c r="N416" t="str">
        <f t="shared" si="41"/>
        <v>March</v>
      </c>
    </row>
    <row r="417" spans="1:14" x14ac:dyDescent="0.3">
      <c r="A417" s="2" t="s">
        <v>1504</v>
      </c>
      <c r="B417" t="s">
        <v>1263</v>
      </c>
      <c r="C417" s="2" t="s">
        <v>35</v>
      </c>
      <c r="D417" s="2" t="s">
        <v>36</v>
      </c>
      <c r="E417" s="2" t="s">
        <v>13</v>
      </c>
      <c r="F417" s="2" t="s">
        <v>25</v>
      </c>
      <c r="G417" s="3">
        <v>280</v>
      </c>
      <c r="H417" s="1" t="s">
        <v>429</v>
      </c>
      <c r="I417">
        <f t="shared" si="37"/>
        <v>3</v>
      </c>
      <c r="J417" t="str">
        <f t="shared" si="38"/>
        <v>Holi</v>
      </c>
      <c r="K417" t="str">
        <f t="shared" si="39"/>
        <v>Promoted</v>
      </c>
      <c r="L417" t="str">
        <f t="shared" si="40"/>
        <v>Known Employee</v>
      </c>
      <c r="M417">
        <f t="shared" si="42"/>
        <v>2</v>
      </c>
      <c r="N417" t="str">
        <f t="shared" si="41"/>
        <v>March</v>
      </c>
    </row>
    <row r="418" spans="1:14" x14ac:dyDescent="0.3">
      <c r="A418" s="2" t="s">
        <v>428</v>
      </c>
      <c r="B418" t="s">
        <v>134</v>
      </c>
      <c r="C418" s="2" t="s">
        <v>35</v>
      </c>
      <c r="D418" s="2" t="s">
        <v>1945</v>
      </c>
      <c r="E418" s="2" t="s">
        <v>13</v>
      </c>
      <c r="F418" s="2" t="s">
        <v>65</v>
      </c>
      <c r="G418" s="3">
        <v>255</v>
      </c>
      <c r="H418" s="1" t="s">
        <v>429</v>
      </c>
      <c r="I418">
        <f t="shared" si="37"/>
        <v>3</v>
      </c>
      <c r="J418" t="str">
        <f t="shared" si="38"/>
        <v>Holi</v>
      </c>
      <c r="K418" t="str">
        <f t="shared" si="39"/>
        <v>Promoted</v>
      </c>
      <c r="L418" t="str">
        <f t="shared" si="40"/>
        <v>Employee</v>
      </c>
      <c r="M418">
        <f t="shared" si="42"/>
        <v>5</v>
      </c>
      <c r="N418" t="str">
        <f t="shared" si="41"/>
        <v>March</v>
      </c>
    </row>
    <row r="419" spans="1:14" x14ac:dyDescent="0.3">
      <c r="A419" s="2" t="s">
        <v>334</v>
      </c>
      <c r="B419" t="s">
        <v>210</v>
      </c>
      <c r="C419" s="2" t="s">
        <v>29</v>
      </c>
      <c r="D419" s="2" t="s">
        <v>168</v>
      </c>
      <c r="E419" s="2" t="s">
        <v>13</v>
      </c>
      <c r="F419" s="2" t="s">
        <v>268</v>
      </c>
      <c r="G419" s="3">
        <v>165</v>
      </c>
      <c r="H419" s="1" t="s">
        <v>335</v>
      </c>
      <c r="I419">
        <f t="shared" si="37"/>
        <v>3</v>
      </c>
      <c r="J419" t="str">
        <f t="shared" si="38"/>
        <v>Holi</v>
      </c>
      <c r="K419" t="str">
        <f t="shared" si="39"/>
        <v>Promoted</v>
      </c>
      <c r="L419" t="str">
        <f t="shared" si="40"/>
        <v>Known Employee</v>
      </c>
      <c r="M419">
        <f t="shared" si="42"/>
        <v>3</v>
      </c>
      <c r="N419" t="str">
        <f t="shared" si="41"/>
        <v>March</v>
      </c>
    </row>
    <row r="420" spans="1:14" x14ac:dyDescent="0.3">
      <c r="A420" s="2" t="s">
        <v>595</v>
      </c>
      <c r="B420" t="s">
        <v>597</v>
      </c>
      <c r="C420" s="2" t="s">
        <v>29</v>
      </c>
      <c r="D420" s="2" t="s">
        <v>30</v>
      </c>
      <c r="E420" s="2" t="s">
        <v>24</v>
      </c>
      <c r="F420" s="2" t="s">
        <v>40</v>
      </c>
      <c r="G420" s="3">
        <v>148.5</v>
      </c>
      <c r="H420" s="1" t="s">
        <v>596</v>
      </c>
      <c r="I420">
        <f t="shared" si="37"/>
        <v>4</v>
      </c>
      <c r="J420" t="str">
        <f t="shared" si="38"/>
        <v>Regular</v>
      </c>
      <c r="K420" t="str">
        <f t="shared" si="39"/>
        <v>Promoted</v>
      </c>
      <c r="L420" t="str">
        <f t="shared" si="40"/>
        <v>Known Employee</v>
      </c>
      <c r="M420">
        <f t="shared" si="42"/>
        <v>2</v>
      </c>
      <c r="N420" t="str">
        <f t="shared" si="41"/>
        <v>April</v>
      </c>
    </row>
    <row r="421" spans="1:14" x14ac:dyDescent="0.3">
      <c r="A421" s="2" t="s">
        <v>504</v>
      </c>
      <c r="B421" t="s">
        <v>506</v>
      </c>
      <c r="C421" s="2" t="s">
        <v>35</v>
      </c>
      <c r="D421" s="2" t="s">
        <v>340</v>
      </c>
      <c r="E421" s="2" t="s">
        <v>13</v>
      </c>
      <c r="F421" s="2" t="s">
        <v>507</v>
      </c>
      <c r="G421" s="3">
        <v>521</v>
      </c>
      <c r="H421" s="1" t="s">
        <v>505</v>
      </c>
      <c r="I421">
        <f t="shared" si="37"/>
        <v>4</v>
      </c>
      <c r="J421" t="str">
        <f t="shared" si="38"/>
        <v>Regular</v>
      </c>
      <c r="K421" t="str">
        <f t="shared" si="39"/>
        <v>Promoted</v>
      </c>
      <c r="L421" t="str">
        <f t="shared" si="40"/>
        <v>Known Employee</v>
      </c>
      <c r="M421">
        <f t="shared" si="42"/>
        <v>4</v>
      </c>
      <c r="N421" t="str">
        <f t="shared" si="41"/>
        <v>April</v>
      </c>
    </row>
    <row r="422" spans="1:14" x14ac:dyDescent="0.3">
      <c r="A422" s="2" t="s">
        <v>1221</v>
      </c>
      <c r="B422" t="s">
        <v>615</v>
      </c>
      <c r="C422" s="2" t="s">
        <v>53</v>
      </c>
      <c r="D422" s="2" t="s">
        <v>83</v>
      </c>
      <c r="E422" s="2" t="s">
        <v>13</v>
      </c>
      <c r="F422" s="2" t="s">
        <v>65</v>
      </c>
      <c r="G422" s="3">
        <v>300</v>
      </c>
      <c r="H422" s="1" t="s">
        <v>1222</v>
      </c>
      <c r="I422">
        <f t="shared" si="37"/>
        <v>4</v>
      </c>
      <c r="J422" t="str">
        <f t="shared" si="38"/>
        <v>Regular</v>
      </c>
      <c r="K422" t="str">
        <f t="shared" si="39"/>
        <v>Promoted</v>
      </c>
      <c r="L422" t="str">
        <f t="shared" si="40"/>
        <v>Known Employee</v>
      </c>
      <c r="M422">
        <f t="shared" si="42"/>
        <v>5</v>
      </c>
      <c r="N422" t="str">
        <f t="shared" si="41"/>
        <v>April</v>
      </c>
    </row>
    <row r="423" spans="1:14" x14ac:dyDescent="0.3">
      <c r="A423" s="2" t="s">
        <v>1452</v>
      </c>
      <c r="B423" t="s">
        <v>63</v>
      </c>
      <c r="C423" s="2" t="s">
        <v>1945</v>
      </c>
      <c r="D423" s="2" t="s">
        <v>104</v>
      </c>
      <c r="E423" s="2" t="s">
        <v>13</v>
      </c>
      <c r="F423" s="2" t="s">
        <v>25</v>
      </c>
      <c r="G423" s="3">
        <v>334</v>
      </c>
      <c r="H423" s="1" t="s">
        <v>1222</v>
      </c>
      <c r="I423">
        <f t="shared" si="37"/>
        <v>4</v>
      </c>
      <c r="J423" t="str">
        <f t="shared" si="38"/>
        <v>Regular</v>
      </c>
      <c r="K423" t="str">
        <f t="shared" si="39"/>
        <v>Promoted</v>
      </c>
      <c r="L423" t="str">
        <f t="shared" si="40"/>
        <v>Known Employee</v>
      </c>
      <c r="M423">
        <f t="shared" si="42"/>
        <v>5</v>
      </c>
      <c r="N423" t="str">
        <f t="shared" si="41"/>
        <v>April</v>
      </c>
    </row>
    <row r="424" spans="1:14" x14ac:dyDescent="0.3">
      <c r="A424" s="2" t="s">
        <v>925</v>
      </c>
      <c r="B424" t="s">
        <v>183</v>
      </c>
      <c r="C424" s="2" t="s">
        <v>18</v>
      </c>
      <c r="D424" s="2" t="s">
        <v>87</v>
      </c>
      <c r="E424" s="2" t="s">
        <v>13</v>
      </c>
      <c r="F424" s="2" t="s">
        <v>40</v>
      </c>
      <c r="G424" s="3">
        <v>454</v>
      </c>
      <c r="H424" s="1" t="s">
        <v>926</v>
      </c>
      <c r="I424">
        <f t="shared" si="37"/>
        <v>4</v>
      </c>
      <c r="J424" t="str">
        <f t="shared" si="38"/>
        <v>Regular</v>
      </c>
      <c r="K424" t="str">
        <f t="shared" si="39"/>
        <v>Promoted</v>
      </c>
      <c r="L424" t="str">
        <f t="shared" si="40"/>
        <v>Known Employee</v>
      </c>
      <c r="M424">
        <f t="shared" si="42"/>
        <v>6</v>
      </c>
      <c r="N424" t="str">
        <f t="shared" si="41"/>
        <v>April</v>
      </c>
    </row>
    <row r="425" spans="1:14" x14ac:dyDescent="0.3">
      <c r="A425" s="2" t="s">
        <v>834</v>
      </c>
      <c r="B425" t="s">
        <v>437</v>
      </c>
      <c r="C425" s="2" t="s">
        <v>53</v>
      </c>
      <c r="D425" s="2" t="s">
        <v>138</v>
      </c>
      <c r="E425" s="2" t="s">
        <v>13</v>
      </c>
      <c r="F425" s="2" t="s">
        <v>144</v>
      </c>
      <c r="G425" s="3">
        <v>470</v>
      </c>
      <c r="H425" s="1" t="s">
        <v>835</v>
      </c>
      <c r="I425">
        <f t="shared" si="37"/>
        <v>4</v>
      </c>
      <c r="J425" t="str">
        <f t="shared" si="38"/>
        <v>Regular</v>
      </c>
      <c r="K425" t="str">
        <f t="shared" si="39"/>
        <v>Promoted</v>
      </c>
      <c r="L425" t="str">
        <f t="shared" si="40"/>
        <v>Known Employee</v>
      </c>
      <c r="M425">
        <f t="shared" si="42"/>
        <v>5</v>
      </c>
      <c r="N425" t="str">
        <f t="shared" si="41"/>
        <v>April</v>
      </c>
    </row>
    <row r="426" spans="1:14" x14ac:dyDescent="0.3">
      <c r="A426" s="2" t="s">
        <v>1787</v>
      </c>
      <c r="B426" t="s">
        <v>1789</v>
      </c>
      <c r="C426" s="2" t="s">
        <v>18</v>
      </c>
      <c r="D426" s="2" t="s">
        <v>19</v>
      </c>
      <c r="E426" s="2" t="s">
        <v>13</v>
      </c>
      <c r="F426" s="2" t="s">
        <v>25</v>
      </c>
      <c r="G426" s="3">
        <v>639</v>
      </c>
      <c r="H426" s="1" t="s">
        <v>1788</v>
      </c>
      <c r="I426">
        <f t="shared" si="37"/>
        <v>4</v>
      </c>
      <c r="J426" t="str">
        <f t="shared" si="38"/>
        <v>Regular</v>
      </c>
      <c r="K426" t="str">
        <f t="shared" si="39"/>
        <v>Promoted</v>
      </c>
      <c r="L426" t="str">
        <f t="shared" si="40"/>
        <v>Known Employee</v>
      </c>
      <c r="M426">
        <f t="shared" si="42"/>
        <v>2</v>
      </c>
      <c r="N426" t="str">
        <f t="shared" si="41"/>
        <v>April</v>
      </c>
    </row>
    <row r="427" spans="1:14" x14ac:dyDescent="0.3">
      <c r="A427" s="2" t="s">
        <v>1486</v>
      </c>
      <c r="B427" t="s">
        <v>213</v>
      </c>
      <c r="C427" s="2" t="s">
        <v>35</v>
      </c>
      <c r="D427" s="2" t="s">
        <v>36</v>
      </c>
      <c r="E427" s="2" t="s">
        <v>54</v>
      </c>
      <c r="F427" s="2" t="s">
        <v>14</v>
      </c>
      <c r="G427" s="3">
        <v>127.5</v>
      </c>
      <c r="H427" s="1" t="s">
        <v>1487</v>
      </c>
      <c r="I427">
        <f t="shared" si="37"/>
        <v>4</v>
      </c>
      <c r="J427" t="str">
        <f t="shared" si="38"/>
        <v>Regular</v>
      </c>
      <c r="K427" t="str">
        <f t="shared" si="39"/>
        <v>Promoted</v>
      </c>
      <c r="L427" t="str">
        <f t="shared" si="40"/>
        <v>Known Employee</v>
      </c>
      <c r="M427">
        <f t="shared" si="42"/>
        <v>7</v>
      </c>
      <c r="N427" t="str">
        <f t="shared" si="41"/>
        <v>April</v>
      </c>
    </row>
    <row r="428" spans="1:14" x14ac:dyDescent="0.3">
      <c r="A428" s="2" t="s">
        <v>860</v>
      </c>
      <c r="B428" t="s">
        <v>174</v>
      </c>
      <c r="C428" s="2" t="s">
        <v>35</v>
      </c>
      <c r="D428" s="2" t="s">
        <v>72</v>
      </c>
      <c r="E428" s="2" t="s">
        <v>13</v>
      </c>
      <c r="F428" s="2" t="s">
        <v>25</v>
      </c>
      <c r="G428" s="3">
        <v>355</v>
      </c>
      <c r="H428" s="1" t="s">
        <v>861</v>
      </c>
      <c r="I428">
        <f t="shared" si="37"/>
        <v>4</v>
      </c>
      <c r="J428" t="str">
        <f t="shared" si="38"/>
        <v>Regular</v>
      </c>
      <c r="K428" t="str">
        <f t="shared" si="39"/>
        <v>Promoted</v>
      </c>
      <c r="L428" t="str">
        <f t="shared" si="40"/>
        <v>Known Employee</v>
      </c>
      <c r="M428">
        <f t="shared" si="42"/>
        <v>9</v>
      </c>
      <c r="N428" t="str">
        <f t="shared" si="41"/>
        <v>April</v>
      </c>
    </row>
    <row r="429" spans="1:14" x14ac:dyDescent="0.3">
      <c r="A429" s="2" t="s">
        <v>1881</v>
      </c>
      <c r="B429" t="s">
        <v>111</v>
      </c>
      <c r="C429" s="2" t="s">
        <v>53</v>
      </c>
      <c r="D429" s="2" t="s">
        <v>76</v>
      </c>
      <c r="E429" s="2" t="s">
        <v>13</v>
      </c>
      <c r="F429" s="2" t="s">
        <v>25</v>
      </c>
      <c r="G429" s="3">
        <v>644</v>
      </c>
      <c r="H429" s="1" t="s">
        <v>861</v>
      </c>
      <c r="I429">
        <f t="shared" si="37"/>
        <v>4</v>
      </c>
      <c r="J429" t="str">
        <f t="shared" si="38"/>
        <v>Regular</v>
      </c>
      <c r="K429" t="str">
        <f t="shared" si="39"/>
        <v>Promoted</v>
      </c>
      <c r="L429" t="str">
        <f t="shared" si="40"/>
        <v>Known Employee</v>
      </c>
      <c r="M429">
        <f t="shared" si="42"/>
        <v>4</v>
      </c>
      <c r="N429" t="str">
        <f t="shared" si="41"/>
        <v>April</v>
      </c>
    </row>
    <row r="430" spans="1:14" x14ac:dyDescent="0.3">
      <c r="A430" s="2" t="s">
        <v>1308</v>
      </c>
      <c r="B430" t="s">
        <v>594</v>
      </c>
      <c r="C430" s="2" t="s">
        <v>35</v>
      </c>
      <c r="D430" s="2" t="s">
        <v>140</v>
      </c>
      <c r="E430" s="2" t="s">
        <v>54</v>
      </c>
      <c r="F430" s="2" t="s">
        <v>25</v>
      </c>
      <c r="G430" s="3">
        <v>55.25</v>
      </c>
      <c r="H430" s="1" t="s">
        <v>1309</v>
      </c>
      <c r="I430">
        <f t="shared" si="37"/>
        <v>4</v>
      </c>
      <c r="J430" t="str">
        <f t="shared" si="38"/>
        <v>Regular</v>
      </c>
      <c r="K430" t="str">
        <f t="shared" si="39"/>
        <v>Promoted</v>
      </c>
      <c r="L430" t="str">
        <f t="shared" si="40"/>
        <v>Known Employee</v>
      </c>
      <c r="M430">
        <f t="shared" si="42"/>
        <v>4</v>
      </c>
      <c r="N430" t="str">
        <f t="shared" si="41"/>
        <v>April</v>
      </c>
    </row>
    <row r="431" spans="1:14" x14ac:dyDescent="0.3">
      <c r="A431" s="2" t="s">
        <v>508</v>
      </c>
      <c r="B431" t="s">
        <v>510</v>
      </c>
      <c r="C431" s="2" t="s">
        <v>35</v>
      </c>
      <c r="D431" s="2" t="s">
        <v>44</v>
      </c>
      <c r="E431" s="2" t="s">
        <v>13</v>
      </c>
      <c r="F431" s="2" t="s">
        <v>14</v>
      </c>
      <c r="G431" s="3">
        <v>160</v>
      </c>
      <c r="H431" s="1" t="s">
        <v>509</v>
      </c>
      <c r="I431">
        <f t="shared" si="37"/>
        <v>4</v>
      </c>
      <c r="J431" t="str">
        <f t="shared" si="38"/>
        <v>Regular</v>
      </c>
      <c r="K431" t="str">
        <f t="shared" si="39"/>
        <v>Promoted</v>
      </c>
      <c r="L431" t="str">
        <f t="shared" si="40"/>
        <v>Known Employee</v>
      </c>
      <c r="M431">
        <f t="shared" si="42"/>
        <v>1</v>
      </c>
      <c r="N431" t="str">
        <f t="shared" si="41"/>
        <v>April</v>
      </c>
    </row>
    <row r="432" spans="1:14" x14ac:dyDescent="0.3">
      <c r="A432" s="2" t="s">
        <v>1814</v>
      </c>
      <c r="B432" t="s">
        <v>1585</v>
      </c>
      <c r="C432" s="2" t="s">
        <v>11</v>
      </c>
      <c r="D432" s="2" t="s">
        <v>87</v>
      </c>
      <c r="E432" s="2" t="s">
        <v>13</v>
      </c>
      <c r="F432" s="2" t="s">
        <v>14</v>
      </c>
      <c r="G432" s="3">
        <v>201</v>
      </c>
      <c r="H432" s="1" t="s">
        <v>1815</v>
      </c>
      <c r="I432">
        <f t="shared" si="37"/>
        <v>4</v>
      </c>
      <c r="J432" t="str">
        <f t="shared" si="38"/>
        <v>Regular</v>
      </c>
      <c r="K432" t="str">
        <f t="shared" si="39"/>
        <v>Promoted</v>
      </c>
      <c r="L432" t="str">
        <f t="shared" si="40"/>
        <v>Known Employee</v>
      </c>
      <c r="M432">
        <f t="shared" si="42"/>
        <v>2</v>
      </c>
      <c r="N432" t="str">
        <f t="shared" si="41"/>
        <v>April</v>
      </c>
    </row>
    <row r="433" spans="1:14" x14ac:dyDescent="0.3">
      <c r="A433" s="2" t="s">
        <v>769</v>
      </c>
      <c r="B433" t="s">
        <v>770</v>
      </c>
      <c r="C433" s="2" t="s">
        <v>1945</v>
      </c>
      <c r="D433" s="2" t="s">
        <v>771</v>
      </c>
      <c r="E433" s="2" t="s">
        <v>13</v>
      </c>
      <c r="F433" s="2" t="s">
        <v>40</v>
      </c>
      <c r="G433" s="3">
        <v>413</v>
      </c>
      <c r="H433" s="1" t="s">
        <v>691</v>
      </c>
      <c r="I433">
        <f t="shared" si="37"/>
        <v>5</v>
      </c>
      <c r="J433" t="str">
        <f t="shared" si="38"/>
        <v>Regular</v>
      </c>
      <c r="K433" t="str">
        <f t="shared" si="39"/>
        <v>Promoted</v>
      </c>
      <c r="L433" t="str">
        <f t="shared" si="40"/>
        <v>Known Employee</v>
      </c>
      <c r="M433">
        <f t="shared" si="42"/>
        <v>5</v>
      </c>
      <c r="N433" t="str">
        <f t="shared" si="41"/>
        <v>May</v>
      </c>
    </row>
    <row r="434" spans="1:14" x14ac:dyDescent="0.3">
      <c r="A434" s="2" t="s">
        <v>690</v>
      </c>
      <c r="B434" t="s">
        <v>463</v>
      </c>
      <c r="C434" s="2" t="s">
        <v>18</v>
      </c>
      <c r="D434" s="2" t="s">
        <v>87</v>
      </c>
      <c r="E434" s="2" t="s">
        <v>13</v>
      </c>
      <c r="F434" s="2" t="s">
        <v>144</v>
      </c>
      <c r="G434" s="3">
        <v>435</v>
      </c>
      <c r="H434" s="1" t="s">
        <v>691</v>
      </c>
      <c r="I434">
        <f t="shared" si="37"/>
        <v>5</v>
      </c>
      <c r="J434" t="str">
        <f t="shared" si="38"/>
        <v>Regular</v>
      </c>
      <c r="K434" t="str">
        <f t="shared" si="39"/>
        <v>Promoted</v>
      </c>
      <c r="L434" t="str">
        <f t="shared" si="40"/>
        <v>Known Employee</v>
      </c>
      <c r="M434">
        <f t="shared" si="42"/>
        <v>3</v>
      </c>
      <c r="N434" t="str">
        <f t="shared" si="41"/>
        <v>May</v>
      </c>
    </row>
    <row r="435" spans="1:14" x14ac:dyDescent="0.3">
      <c r="A435" s="2" t="s">
        <v>489</v>
      </c>
      <c r="B435" t="s">
        <v>491</v>
      </c>
      <c r="C435" s="2" t="s">
        <v>18</v>
      </c>
      <c r="D435" s="2" t="s">
        <v>295</v>
      </c>
      <c r="E435" s="2" t="s">
        <v>13</v>
      </c>
      <c r="F435" s="2" t="s">
        <v>40</v>
      </c>
      <c r="G435" s="3">
        <v>600</v>
      </c>
      <c r="H435" s="1" t="s">
        <v>490</v>
      </c>
      <c r="I435">
        <f t="shared" si="37"/>
        <v>5</v>
      </c>
      <c r="J435" t="str">
        <f t="shared" si="38"/>
        <v>Regular</v>
      </c>
      <c r="K435" t="str">
        <f t="shared" si="39"/>
        <v>Promoted</v>
      </c>
      <c r="L435" t="str">
        <f t="shared" si="40"/>
        <v>Known Employee</v>
      </c>
      <c r="M435">
        <f t="shared" si="42"/>
        <v>5</v>
      </c>
      <c r="N435" t="str">
        <f t="shared" si="41"/>
        <v>May</v>
      </c>
    </row>
    <row r="436" spans="1:14" x14ac:dyDescent="0.3">
      <c r="A436" s="2" t="s">
        <v>1488</v>
      </c>
      <c r="B436" t="s">
        <v>534</v>
      </c>
      <c r="C436" s="2" t="s">
        <v>29</v>
      </c>
      <c r="D436" s="2" t="s">
        <v>123</v>
      </c>
      <c r="E436" s="2" t="s">
        <v>13</v>
      </c>
      <c r="F436" s="2" t="s">
        <v>14</v>
      </c>
      <c r="G436" s="3">
        <v>522</v>
      </c>
      <c r="H436" s="1" t="s">
        <v>490</v>
      </c>
      <c r="I436">
        <f t="shared" si="37"/>
        <v>5</v>
      </c>
      <c r="J436" t="str">
        <f t="shared" si="38"/>
        <v>Regular</v>
      </c>
      <c r="K436" t="str">
        <f t="shared" si="39"/>
        <v>Promoted</v>
      </c>
      <c r="L436" t="str">
        <f t="shared" si="40"/>
        <v>Known Employee</v>
      </c>
      <c r="M436">
        <f t="shared" si="42"/>
        <v>5</v>
      </c>
      <c r="N436" t="str">
        <f t="shared" si="41"/>
        <v>May</v>
      </c>
    </row>
    <row r="437" spans="1:14" x14ac:dyDescent="0.3">
      <c r="A437" s="2" t="s">
        <v>1555</v>
      </c>
      <c r="B437" t="s">
        <v>233</v>
      </c>
      <c r="C437" s="2" t="s">
        <v>18</v>
      </c>
      <c r="D437" s="2" t="s">
        <v>87</v>
      </c>
      <c r="E437" s="2" t="s">
        <v>13</v>
      </c>
      <c r="F437" s="2" t="s">
        <v>25</v>
      </c>
      <c r="G437" s="3">
        <v>410</v>
      </c>
      <c r="H437" s="1" t="s">
        <v>490</v>
      </c>
      <c r="I437">
        <f t="shared" si="37"/>
        <v>5</v>
      </c>
      <c r="J437" t="str">
        <f t="shared" si="38"/>
        <v>Regular</v>
      </c>
      <c r="K437" t="str">
        <f t="shared" si="39"/>
        <v>Promoted</v>
      </c>
      <c r="L437" t="str">
        <f t="shared" si="40"/>
        <v>Known Employee</v>
      </c>
      <c r="M437">
        <f t="shared" si="42"/>
        <v>6</v>
      </c>
      <c r="N437" t="str">
        <f t="shared" si="41"/>
        <v>May</v>
      </c>
    </row>
    <row r="438" spans="1:14" x14ac:dyDescent="0.3">
      <c r="A438" s="2" t="s">
        <v>468</v>
      </c>
      <c r="B438" t="s">
        <v>325</v>
      </c>
      <c r="C438" s="2" t="s">
        <v>29</v>
      </c>
      <c r="D438" s="2" t="s">
        <v>49</v>
      </c>
      <c r="E438" s="2" t="s">
        <v>1946</v>
      </c>
      <c r="F438" s="2" t="s">
        <v>40</v>
      </c>
      <c r="G438" s="3">
        <v>354</v>
      </c>
      <c r="H438" s="1" t="s">
        <v>469</v>
      </c>
      <c r="I438">
        <f t="shared" si="37"/>
        <v>5</v>
      </c>
      <c r="J438" t="str">
        <f t="shared" si="38"/>
        <v>Regular</v>
      </c>
      <c r="K438" t="str">
        <f t="shared" si="39"/>
        <v>Not Promoted</v>
      </c>
      <c r="L438" t="str">
        <f t="shared" si="40"/>
        <v>Known Employee</v>
      </c>
      <c r="M438">
        <f t="shared" si="42"/>
        <v>4</v>
      </c>
      <c r="N438" t="str">
        <f t="shared" si="41"/>
        <v>May</v>
      </c>
    </row>
    <row r="439" spans="1:14" x14ac:dyDescent="0.3">
      <c r="A439" s="2" t="s">
        <v>1052</v>
      </c>
      <c r="B439" t="s">
        <v>63</v>
      </c>
      <c r="C439" s="2" t="s">
        <v>35</v>
      </c>
      <c r="D439" s="2" t="s">
        <v>140</v>
      </c>
      <c r="E439" s="2" t="s">
        <v>64</v>
      </c>
      <c r="F439" s="2" t="s">
        <v>14</v>
      </c>
      <c r="G439" s="3">
        <v>85</v>
      </c>
      <c r="H439" s="1" t="s">
        <v>1053</v>
      </c>
      <c r="I439">
        <f t="shared" si="37"/>
        <v>5</v>
      </c>
      <c r="J439" t="str">
        <f t="shared" si="38"/>
        <v>Regular</v>
      </c>
      <c r="K439" t="str">
        <f t="shared" si="39"/>
        <v>Promoted</v>
      </c>
      <c r="L439" t="str">
        <f t="shared" si="40"/>
        <v>Known Employee</v>
      </c>
      <c r="M439">
        <f t="shared" si="42"/>
        <v>5</v>
      </c>
      <c r="N439" t="str">
        <f t="shared" si="41"/>
        <v>May</v>
      </c>
    </row>
    <row r="440" spans="1:14" x14ac:dyDescent="0.3">
      <c r="A440" s="2" t="s">
        <v>1020</v>
      </c>
      <c r="B440" t="s">
        <v>706</v>
      </c>
      <c r="C440" s="2" t="s">
        <v>35</v>
      </c>
      <c r="D440" s="2" t="s">
        <v>72</v>
      </c>
      <c r="E440" s="2" t="s">
        <v>24</v>
      </c>
      <c r="F440" s="2" t="s">
        <v>40</v>
      </c>
      <c r="G440" s="3">
        <v>49.5</v>
      </c>
      <c r="H440" s="1" t="s">
        <v>1053</v>
      </c>
      <c r="I440">
        <f t="shared" si="37"/>
        <v>5</v>
      </c>
      <c r="J440" t="str">
        <f t="shared" si="38"/>
        <v>Regular</v>
      </c>
      <c r="K440" t="str">
        <f t="shared" si="39"/>
        <v>Promoted</v>
      </c>
      <c r="L440" t="str">
        <f t="shared" si="40"/>
        <v>Known Employee</v>
      </c>
      <c r="M440">
        <f t="shared" si="42"/>
        <v>4</v>
      </c>
      <c r="N440" t="str">
        <f t="shared" si="41"/>
        <v>May</v>
      </c>
    </row>
    <row r="441" spans="1:14" x14ac:dyDescent="0.3">
      <c r="A441" s="2" t="s">
        <v>1878</v>
      </c>
      <c r="B441" t="s">
        <v>1470</v>
      </c>
      <c r="C441" s="2" t="s">
        <v>29</v>
      </c>
      <c r="D441" s="2" t="s">
        <v>49</v>
      </c>
      <c r="E441" s="2" t="s">
        <v>158</v>
      </c>
      <c r="F441" s="2" t="s">
        <v>507</v>
      </c>
      <c r="G441" s="3">
        <v>110.2</v>
      </c>
      <c r="H441" s="1" t="s">
        <v>1053</v>
      </c>
      <c r="I441">
        <f t="shared" si="37"/>
        <v>5</v>
      </c>
      <c r="J441" t="str">
        <f t="shared" si="38"/>
        <v>Regular</v>
      </c>
      <c r="K441" t="str">
        <f t="shared" si="39"/>
        <v>Promoted</v>
      </c>
      <c r="L441" t="str">
        <f t="shared" si="40"/>
        <v>Known Employee</v>
      </c>
      <c r="M441">
        <f t="shared" si="42"/>
        <v>2</v>
      </c>
      <c r="N441" t="str">
        <f t="shared" si="41"/>
        <v>May</v>
      </c>
    </row>
    <row r="442" spans="1:14" x14ac:dyDescent="0.3">
      <c r="A442" s="2" t="s">
        <v>557</v>
      </c>
      <c r="B442" t="s">
        <v>188</v>
      </c>
      <c r="C442" s="2" t="s">
        <v>53</v>
      </c>
      <c r="D442" s="2" t="s">
        <v>138</v>
      </c>
      <c r="E442" s="2" t="s">
        <v>13</v>
      </c>
      <c r="F442" s="2" t="s">
        <v>14</v>
      </c>
      <c r="G442" s="3">
        <v>430</v>
      </c>
      <c r="H442" s="1" t="s">
        <v>558</v>
      </c>
      <c r="I442">
        <f t="shared" si="37"/>
        <v>5</v>
      </c>
      <c r="J442" t="str">
        <f t="shared" si="38"/>
        <v>Regular</v>
      </c>
      <c r="K442" t="str">
        <f t="shared" si="39"/>
        <v>Promoted</v>
      </c>
      <c r="L442" t="str">
        <f t="shared" si="40"/>
        <v>Known Employee</v>
      </c>
      <c r="M442">
        <f t="shared" si="42"/>
        <v>5</v>
      </c>
      <c r="N442" t="str">
        <f t="shared" si="41"/>
        <v>May</v>
      </c>
    </row>
    <row r="443" spans="1:14" x14ac:dyDescent="0.3">
      <c r="A443" s="2" t="s">
        <v>1223</v>
      </c>
      <c r="B443" t="s">
        <v>1164</v>
      </c>
      <c r="C443" s="2" t="s">
        <v>11</v>
      </c>
      <c r="D443" s="2" t="s">
        <v>23</v>
      </c>
      <c r="E443" s="2" t="s">
        <v>13</v>
      </c>
      <c r="F443" s="2" t="s">
        <v>14</v>
      </c>
      <c r="G443" s="3">
        <v>260</v>
      </c>
      <c r="H443" s="1" t="s">
        <v>909</v>
      </c>
      <c r="I443">
        <f t="shared" si="37"/>
        <v>5</v>
      </c>
      <c r="J443" t="str">
        <f t="shared" si="38"/>
        <v>Regular</v>
      </c>
      <c r="K443" t="str">
        <f t="shared" si="39"/>
        <v>Promoted</v>
      </c>
      <c r="L443" t="str">
        <f t="shared" si="40"/>
        <v>Known Employee</v>
      </c>
      <c r="M443">
        <f t="shared" si="42"/>
        <v>5</v>
      </c>
      <c r="N443" t="str">
        <f t="shared" si="41"/>
        <v>May</v>
      </c>
    </row>
    <row r="444" spans="1:14" x14ac:dyDescent="0.3">
      <c r="A444" s="2" t="s">
        <v>1769</v>
      </c>
      <c r="B444" t="s">
        <v>188</v>
      </c>
      <c r="C444" s="2" t="s">
        <v>18</v>
      </c>
      <c r="D444" s="2" t="s">
        <v>19</v>
      </c>
      <c r="E444" s="2" t="s">
        <v>54</v>
      </c>
      <c r="F444" s="2" t="s">
        <v>1945</v>
      </c>
      <c r="G444" s="3">
        <v>353.6</v>
      </c>
      <c r="H444" s="1" t="s">
        <v>909</v>
      </c>
      <c r="I444">
        <f t="shared" si="37"/>
        <v>5</v>
      </c>
      <c r="J444" t="str">
        <f t="shared" si="38"/>
        <v>Regular</v>
      </c>
      <c r="K444" t="str">
        <f t="shared" si="39"/>
        <v>Promoted</v>
      </c>
      <c r="L444" t="str">
        <f t="shared" si="40"/>
        <v>Known Employee</v>
      </c>
      <c r="M444">
        <f t="shared" si="42"/>
        <v>5</v>
      </c>
      <c r="N444" t="str">
        <f t="shared" si="41"/>
        <v>May</v>
      </c>
    </row>
    <row r="445" spans="1:14" x14ac:dyDescent="0.3">
      <c r="A445" s="2" t="s">
        <v>908</v>
      </c>
      <c r="B445" t="s">
        <v>117</v>
      </c>
      <c r="C445" s="2" t="s">
        <v>53</v>
      </c>
      <c r="D445" s="2" t="s">
        <v>138</v>
      </c>
      <c r="E445" s="2" t="s">
        <v>13</v>
      </c>
      <c r="F445" s="2" t="s">
        <v>25</v>
      </c>
      <c r="G445" s="3">
        <v>210</v>
      </c>
      <c r="H445" s="1" t="s">
        <v>909</v>
      </c>
      <c r="I445">
        <f t="shared" si="37"/>
        <v>5</v>
      </c>
      <c r="J445" t="str">
        <f t="shared" si="38"/>
        <v>Regular</v>
      </c>
      <c r="K445" t="str">
        <f t="shared" si="39"/>
        <v>Promoted</v>
      </c>
      <c r="L445" t="str">
        <f t="shared" si="40"/>
        <v>Known Employee</v>
      </c>
      <c r="M445">
        <f t="shared" si="42"/>
        <v>3</v>
      </c>
      <c r="N445" t="str">
        <f t="shared" si="41"/>
        <v>May</v>
      </c>
    </row>
    <row r="446" spans="1:14" x14ac:dyDescent="0.3">
      <c r="A446" s="2" t="s">
        <v>893</v>
      </c>
      <c r="B446" t="s">
        <v>126</v>
      </c>
      <c r="C446" s="2" t="s">
        <v>29</v>
      </c>
      <c r="D446" s="2" t="s">
        <v>49</v>
      </c>
      <c r="E446" s="2" t="s">
        <v>13</v>
      </c>
      <c r="F446" s="2" t="s">
        <v>40</v>
      </c>
      <c r="G446" s="3">
        <v>466</v>
      </c>
      <c r="H446" s="1" t="s">
        <v>894</v>
      </c>
      <c r="I446">
        <f t="shared" si="37"/>
        <v>5</v>
      </c>
      <c r="J446" t="str">
        <f t="shared" si="38"/>
        <v>Regular</v>
      </c>
      <c r="K446" t="str">
        <f t="shared" si="39"/>
        <v>Promoted</v>
      </c>
      <c r="L446" t="str">
        <f t="shared" si="40"/>
        <v>Known Employee</v>
      </c>
      <c r="M446">
        <f t="shared" si="42"/>
        <v>4</v>
      </c>
      <c r="N446" t="str">
        <f t="shared" si="41"/>
        <v>May</v>
      </c>
    </row>
    <row r="447" spans="1:14" x14ac:dyDescent="0.3">
      <c r="A447" s="2" t="s">
        <v>1934</v>
      </c>
      <c r="B447" t="s">
        <v>485</v>
      </c>
      <c r="C447" s="2" t="s">
        <v>18</v>
      </c>
      <c r="D447" s="2" t="s">
        <v>23</v>
      </c>
      <c r="E447" s="2" t="s">
        <v>1946</v>
      </c>
      <c r="F447" s="2" t="s">
        <v>40</v>
      </c>
      <c r="G447" s="3">
        <v>170</v>
      </c>
      <c r="H447" s="1" t="s">
        <v>1935</v>
      </c>
      <c r="I447">
        <f t="shared" si="37"/>
        <v>5</v>
      </c>
      <c r="J447" t="str">
        <f t="shared" si="38"/>
        <v>Regular</v>
      </c>
      <c r="K447" t="str">
        <f t="shared" si="39"/>
        <v>Not Promoted</v>
      </c>
      <c r="L447" t="str">
        <f t="shared" si="40"/>
        <v>Known Employee</v>
      </c>
      <c r="M447">
        <f t="shared" si="42"/>
        <v>4</v>
      </c>
      <c r="N447" t="str">
        <f t="shared" si="41"/>
        <v>May</v>
      </c>
    </row>
    <row r="448" spans="1:14" x14ac:dyDescent="0.3">
      <c r="A448" s="2" t="s">
        <v>1891</v>
      </c>
      <c r="B448" t="s">
        <v>851</v>
      </c>
      <c r="C448" s="2" t="s">
        <v>29</v>
      </c>
      <c r="D448" s="2" t="s">
        <v>168</v>
      </c>
      <c r="E448" s="2" t="s">
        <v>13</v>
      </c>
      <c r="F448" s="2" t="s">
        <v>14</v>
      </c>
      <c r="G448" s="3">
        <v>180</v>
      </c>
      <c r="H448" s="1" t="s">
        <v>886</v>
      </c>
      <c r="I448">
        <f t="shared" si="37"/>
        <v>5</v>
      </c>
      <c r="J448" t="str">
        <f t="shared" si="38"/>
        <v>Regular</v>
      </c>
      <c r="K448" t="str">
        <f t="shared" si="39"/>
        <v>Promoted</v>
      </c>
      <c r="L448" t="str">
        <f t="shared" si="40"/>
        <v>Known Employee</v>
      </c>
      <c r="M448">
        <f t="shared" si="42"/>
        <v>6</v>
      </c>
      <c r="N448" t="str">
        <f t="shared" si="41"/>
        <v>May</v>
      </c>
    </row>
    <row r="449" spans="1:14" x14ac:dyDescent="0.3">
      <c r="A449" s="2" t="s">
        <v>1270</v>
      </c>
      <c r="B449" t="s">
        <v>258</v>
      </c>
      <c r="C449" s="2" t="s">
        <v>53</v>
      </c>
      <c r="D449" s="2" t="s">
        <v>83</v>
      </c>
      <c r="E449" s="2" t="s">
        <v>54</v>
      </c>
      <c r="F449" s="2" t="s">
        <v>65</v>
      </c>
      <c r="G449" s="3">
        <v>525.29999999999995</v>
      </c>
      <c r="H449" s="1" t="s">
        <v>1271</v>
      </c>
      <c r="I449">
        <f t="shared" si="37"/>
        <v>5</v>
      </c>
      <c r="J449" t="str">
        <f t="shared" si="38"/>
        <v>Regular</v>
      </c>
      <c r="K449" t="str">
        <f t="shared" si="39"/>
        <v>Promoted</v>
      </c>
      <c r="L449" t="str">
        <f t="shared" si="40"/>
        <v>Known Employee</v>
      </c>
      <c r="M449">
        <f t="shared" si="42"/>
        <v>8</v>
      </c>
      <c r="N449" t="str">
        <f t="shared" si="41"/>
        <v>May</v>
      </c>
    </row>
    <row r="450" spans="1:14" x14ac:dyDescent="0.3">
      <c r="A450" s="2" t="s">
        <v>1763</v>
      </c>
      <c r="B450" t="s">
        <v>103</v>
      </c>
      <c r="C450" s="2" t="s">
        <v>35</v>
      </c>
      <c r="D450" s="2" t="s">
        <v>140</v>
      </c>
      <c r="E450" s="2" t="s">
        <v>54</v>
      </c>
      <c r="F450" s="2" t="s">
        <v>65</v>
      </c>
      <c r="G450" s="3">
        <v>266.89999999999998</v>
      </c>
      <c r="H450" s="1" t="s">
        <v>1271</v>
      </c>
      <c r="I450">
        <f t="shared" ref="I450:I513" si="43">MONTH(H450)</f>
        <v>5</v>
      </c>
      <c r="J450" t="str">
        <f t="shared" ref="J450:J513" si="44">IF(OR(I450=10,I450=11),"Diwali",IF(I450=9,"Navratri",IF(I450=8,"Rakshabandhan",IF(I450=3,"Holi",IF(I450=1,"Makar Sankranti","Regular")))))</f>
        <v>Regular</v>
      </c>
      <c r="K450" t="str">
        <f t="shared" ref="K450:K513" si="45" xml:space="preserve"> IF(E450="No Promotion", "Not Promoted", "Promoted")</f>
        <v>Promoted</v>
      </c>
      <c r="L450" t="str">
        <f t="shared" ref="L450:L513" si="46" xml:space="preserve"> IF(D450="Unknown","Employee","Known Employee")</f>
        <v>Known Employee</v>
      </c>
      <c r="M450">
        <f t="shared" si="42"/>
        <v>4</v>
      </c>
      <c r="N450" t="str">
        <f t="shared" si="41"/>
        <v>May</v>
      </c>
    </row>
    <row r="451" spans="1:14" x14ac:dyDescent="0.3">
      <c r="A451" s="2" t="s">
        <v>492</v>
      </c>
      <c r="B451" t="s">
        <v>137</v>
      </c>
      <c r="C451" s="2" t="s">
        <v>11</v>
      </c>
      <c r="D451" s="2" t="s">
        <v>494</v>
      </c>
      <c r="E451" s="2" t="s">
        <v>24</v>
      </c>
      <c r="F451" s="2" t="s">
        <v>14</v>
      </c>
      <c r="G451" s="3">
        <v>135</v>
      </c>
      <c r="H451" s="1" t="s">
        <v>493</v>
      </c>
      <c r="I451">
        <f t="shared" si="43"/>
        <v>5</v>
      </c>
      <c r="J451" t="str">
        <f t="shared" si="44"/>
        <v>Regular</v>
      </c>
      <c r="K451" t="str">
        <f t="shared" si="45"/>
        <v>Promoted</v>
      </c>
      <c r="L451" t="str">
        <f t="shared" si="46"/>
        <v>Known Employee</v>
      </c>
      <c r="M451">
        <f t="shared" si="42"/>
        <v>7</v>
      </c>
      <c r="N451" t="str">
        <f t="shared" ref="N451:N514" si="47">TEXT(DATE(2000, I451, 1), "mmmm")</f>
        <v>May</v>
      </c>
    </row>
    <row r="452" spans="1:14" x14ac:dyDescent="0.3">
      <c r="A452" s="2" t="s">
        <v>1596</v>
      </c>
      <c r="B452" t="s">
        <v>414</v>
      </c>
      <c r="C452" s="2" t="s">
        <v>18</v>
      </c>
      <c r="D452" s="2" t="s">
        <v>19</v>
      </c>
      <c r="E452" s="2" t="s">
        <v>13</v>
      </c>
      <c r="F452" s="2" t="s">
        <v>507</v>
      </c>
      <c r="G452" s="3">
        <v>116</v>
      </c>
      <c r="H452" s="1" t="s">
        <v>1597</v>
      </c>
      <c r="I452">
        <f t="shared" si="43"/>
        <v>5</v>
      </c>
      <c r="J452" t="str">
        <f t="shared" si="44"/>
        <v>Regular</v>
      </c>
      <c r="K452" t="str">
        <f t="shared" si="45"/>
        <v>Promoted</v>
      </c>
      <c r="L452" t="str">
        <f t="shared" si="46"/>
        <v>Known Employee</v>
      </c>
      <c r="M452">
        <f t="shared" si="42"/>
        <v>2</v>
      </c>
      <c r="N452" t="str">
        <f t="shared" si="47"/>
        <v>May</v>
      </c>
    </row>
    <row r="453" spans="1:14" x14ac:dyDescent="0.3">
      <c r="A453" s="2" t="s">
        <v>1770</v>
      </c>
      <c r="B453" t="s">
        <v>183</v>
      </c>
      <c r="C453" s="2" t="s">
        <v>18</v>
      </c>
      <c r="D453" s="2" t="s">
        <v>87</v>
      </c>
      <c r="E453" s="2" t="s">
        <v>13</v>
      </c>
      <c r="F453" s="2" t="s">
        <v>25</v>
      </c>
      <c r="G453" s="3">
        <v>561</v>
      </c>
      <c r="H453" s="1" t="s">
        <v>1771</v>
      </c>
      <c r="I453">
        <f t="shared" si="43"/>
        <v>5</v>
      </c>
      <c r="J453" t="str">
        <f t="shared" si="44"/>
        <v>Regular</v>
      </c>
      <c r="K453" t="str">
        <f t="shared" si="45"/>
        <v>Promoted</v>
      </c>
      <c r="L453" t="str">
        <f t="shared" si="46"/>
        <v>Known Employee</v>
      </c>
      <c r="M453">
        <f t="shared" si="42"/>
        <v>6</v>
      </c>
      <c r="N453" t="str">
        <f t="shared" si="47"/>
        <v>May</v>
      </c>
    </row>
    <row r="454" spans="1:14" x14ac:dyDescent="0.3">
      <c r="A454" s="2" t="s">
        <v>1048</v>
      </c>
      <c r="B454" t="s">
        <v>111</v>
      </c>
      <c r="C454" s="2" t="s">
        <v>29</v>
      </c>
      <c r="D454" s="2" t="s">
        <v>168</v>
      </c>
      <c r="E454" s="2" t="s">
        <v>24</v>
      </c>
      <c r="F454" s="2" t="s">
        <v>40</v>
      </c>
      <c r="G454" s="3">
        <v>108</v>
      </c>
      <c r="H454" s="1" t="s">
        <v>1049</v>
      </c>
      <c r="I454">
        <f t="shared" si="43"/>
        <v>5</v>
      </c>
      <c r="J454" t="str">
        <f t="shared" si="44"/>
        <v>Regular</v>
      </c>
      <c r="K454" t="str">
        <f t="shared" si="45"/>
        <v>Promoted</v>
      </c>
      <c r="L454" t="str">
        <f t="shared" si="46"/>
        <v>Known Employee</v>
      </c>
      <c r="M454">
        <f t="shared" si="42"/>
        <v>4</v>
      </c>
      <c r="N454" t="str">
        <f t="shared" si="47"/>
        <v>May</v>
      </c>
    </row>
    <row r="455" spans="1:14" x14ac:dyDescent="0.3">
      <c r="A455" s="2" t="s">
        <v>1699</v>
      </c>
      <c r="B455" t="s">
        <v>760</v>
      </c>
      <c r="C455" s="2" t="s">
        <v>246</v>
      </c>
      <c r="D455" s="2" t="s">
        <v>44</v>
      </c>
      <c r="E455" s="2" t="s">
        <v>24</v>
      </c>
      <c r="F455" s="2" t="s">
        <v>25</v>
      </c>
      <c r="G455" s="3">
        <v>166.5</v>
      </c>
      <c r="H455" s="1" t="s">
        <v>1700</v>
      </c>
      <c r="I455">
        <f t="shared" si="43"/>
        <v>5</v>
      </c>
      <c r="J455" t="str">
        <f t="shared" si="44"/>
        <v>Regular</v>
      </c>
      <c r="K455" t="str">
        <f t="shared" si="45"/>
        <v>Promoted</v>
      </c>
      <c r="L455" t="str">
        <f t="shared" si="46"/>
        <v>Known Employee</v>
      </c>
      <c r="M455">
        <f t="shared" si="42"/>
        <v>4</v>
      </c>
      <c r="N455" t="str">
        <f t="shared" si="47"/>
        <v>May</v>
      </c>
    </row>
    <row r="456" spans="1:14" x14ac:dyDescent="0.3">
      <c r="A456" s="2" t="s">
        <v>1495</v>
      </c>
      <c r="B456" t="s">
        <v>1043</v>
      </c>
      <c r="C456" s="2" t="s">
        <v>18</v>
      </c>
      <c r="D456" s="2" t="s">
        <v>23</v>
      </c>
      <c r="E456" s="2" t="s">
        <v>64</v>
      </c>
      <c r="F456" s="2" t="s">
        <v>65</v>
      </c>
      <c r="G456" s="3">
        <v>644</v>
      </c>
      <c r="H456" s="1" t="s">
        <v>1496</v>
      </c>
      <c r="I456">
        <f t="shared" si="43"/>
        <v>6</v>
      </c>
      <c r="J456" t="str">
        <f t="shared" si="44"/>
        <v>Regular</v>
      </c>
      <c r="K456" t="str">
        <f t="shared" si="45"/>
        <v>Promoted</v>
      </c>
      <c r="L456" t="str">
        <f t="shared" si="46"/>
        <v>Known Employee</v>
      </c>
      <c r="M456">
        <f t="shared" si="42"/>
        <v>3</v>
      </c>
      <c r="N456" t="str">
        <f t="shared" si="47"/>
        <v>June</v>
      </c>
    </row>
    <row r="457" spans="1:14" x14ac:dyDescent="0.3">
      <c r="A457" s="2" t="s">
        <v>724</v>
      </c>
      <c r="B457" t="s">
        <v>330</v>
      </c>
      <c r="C457" s="2" t="s">
        <v>35</v>
      </c>
      <c r="D457" s="2" t="s">
        <v>44</v>
      </c>
      <c r="E457" s="2" t="s">
        <v>13</v>
      </c>
      <c r="F457" s="2" t="s">
        <v>14</v>
      </c>
      <c r="G457" s="3">
        <v>110</v>
      </c>
      <c r="H457" s="1" t="s">
        <v>725</v>
      </c>
      <c r="I457">
        <f t="shared" si="43"/>
        <v>6</v>
      </c>
      <c r="J457" t="str">
        <f t="shared" si="44"/>
        <v>Regular</v>
      </c>
      <c r="K457" t="str">
        <f t="shared" si="45"/>
        <v>Promoted</v>
      </c>
      <c r="L457" t="str">
        <f t="shared" si="46"/>
        <v>Known Employee</v>
      </c>
      <c r="M457">
        <f t="shared" si="42"/>
        <v>2</v>
      </c>
      <c r="N457" t="str">
        <f t="shared" si="47"/>
        <v>June</v>
      </c>
    </row>
    <row r="458" spans="1:14" x14ac:dyDescent="0.3">
      <c r="A458" s="2" t="s">
        <v>1541</v>
      </c>
      <c r="B458" t="s">
        <v>1040</v>
      </c>
      <c r="C458" s="2" t="s">
        <v>35</v>
      </c>
      <c r="D458" s="2" t="s">
        <v>140</v>
      </c>
      <c r="E458" s="2" t="s">
        <v>13</v>
      </c>
      <c r="F458" s="2" t="s">
        <v>65</v>
      </c>
      <c r="G458" s="3">
        <v>495</v>
      </c>
      <c r="H458" s="1" t="s">
        <v>725</v>
      </c>
      <c r="I458">
        <f t="shared" si="43"/>
        <v>6</v>
      </c>
      <c r="J458" t="str">
        <f t="shared" si="44"/>
        <v>Regular</v>
      </c>
      <c r="K458" t="str">
        <f t="shared" si="45"/>
        <v>Promoted</v>
      </c>
      <c r="L458" t="str">
        <f t="shared" si="46"/>
        <v>Known Employee</v>
      </c>
      <c r="M458">
        <f t="shared" ref="M458:M521" si="48">COUNTIF($B$1:$B$805, B458)</f>
        <v>4</v>
      </c>
      <c r="N458" t="str">
        <f t="shared" si="47"/>
        <v>June</v>
      </c>
    </row>
    <row r="459" spans="1:14" x14ac:dyDescent="0.3">
      <c r="A459" s="2" t="s">
        <v>1457</v>
      </c>
      <c r="B459" t="s">
        <v>147</v>
      </c>
      <c r="C459" s="2" t="s">
        <v>157</v>
      </c>
      <c r="D459" s="2" t="s">
        <v>76</v>
      </c>
      <c r="E459" s="2" t="s">
        <v>13</v>
      </c>
      <c r="F459" s="2" t="s">
        <v>14</v>
      </c>
      <c r="G459" s="3">
        <v>611</v>
      </c>
      <c r="H459" s="1" t="s">
        <v>1458</v>
      </c>
      <c r="I459">
        <f t="shared" si="43"/>
        <v>6</v>
      </c>
      <c r="J459" t="str">
        <f t="shared" si="44"/>
        <v>Regular</v>
      </c>
      <c r="K459" t="str">
        <f t="shared" si="45"/>
        <v>Promoted</v>
      </c>
      <c r="L459" t="str">
        <f t="shared" si="46"/>
        <v>Known Employee</v>
      </c>
      <c r="M459">
        <f t="shared" si="48"/>
        <v>4</v>
      </c>
      <c r="N459" t="str">
        <f t="shared" si="47"/>
        <v>June</v>
      </c>
    </row>
    <row r="460" spans="1:14" x14ac:dyDescent="0.3">
      <c r="A460" s="2" t="s">
        <v>1050</v>
      </c>
      <c r="B460" t="s">
        <v>1051</v>
      </c>
      <c r="C460" s="2" t="s">
        <v>53</v>
      </c>
      <c r="D460" s="2" t="s">
        <v>83</v>
      </c>
      <c r="E460" s="2" t="s">
        <v>13</v>
      </c>
      <c r="F460" s="2" t="s">
        <v>14</v>
      </c>
      <c r="G460" s="3">
        <v>190</v>
      </c>
      <c r="H460" s="1" t="s">
        <v>244</v>
      </c>
      <c r="I460">
        <f t="shared" si="43"/>
        <v>6</v>
      </c>
      <c r="J460" t="str">
        <f t="shared" si="44"/>
        <v>Regular</v>
      </c>
      <c r="K460" t="str">
        <f t="shared" si="45"/>
        <v>Promoted</v>
      </c>
      <c r="L460" t="str">
        <f t="shared" si="46"/>
        <v>Known Employee</v>
      </c>
      <c r="M460">
        <f t="shared" si="48"/>
        <v>1</v>
      </c>
      <c r="N460" t="str">
        <f t="shared" si="47"/>
        <v>June</v>
      </c>
    </row>
    <row r="461" spans="1:14" x14ac:dyDescent="0.3">
      <c r="A461" s="2" t="s">
        <v>243</v>
      </c>
      <c r="B461" t="s">
        <v>245</v>
      </c>
      <c r="C461" s="2" t="s">
        <v>246</v>
      </c>
      <c r="D461" s="2" t="s">
        <v>1945</v>
      </c>
      <c r="E461" s="2" t="s">
        <v>13</v>
      </c>
      <c r="F461" s="2" t="s">
        <v>14</v>
      </c>
      <c r="G461" s="3">
        <v>341</v>
      </c>
      <c r="H461" s="1" t="s">
        <v>244</v>
      </c>
      <c r="I461">
        <f t="shared" si="43"/>
        <v>6</v>
      </c>
      <c r="J461" t="str">
        <f t="shared" si="44"/>
        <v>Regular</v>
      </c>
      <c r="K461" t="str">
        <f t="shared" si="45"/>
        <v>Promoted</v>
      </c>
      <c r="L461" t="str">
        <f t="shared" si="46"/>
        <v>Employee</v>
      </c>
      <c r="M461">
        <f t="shared" si="48"/>
        <v>4</v>
      </c>
      <c r="N461" t="str">
        <f t="shared" si="47"/>
        <v>June</v>
      </c>
    </row>
    <row r="462" spans="1:14" x14ac:dyDescent="0.3">
      <c r="A462" s="2" t="s">
        <v>1170</v>
      </c>
      <c r="B462" t="s">
        <v>1172</v>
      </c>
      <c r="C462" s="2" t="s">
        <v>29</v>
      </c>
      <c r="D462" s="2" t="s">
        <v>168</v>
      </c>
      <c r="E462" s="2" t="s">
        <v>64</v>
      </c>
      <c r="F462" s="2" t="s">
        <v>14</v>
      </c>
      <c r="G462" s="3">
        <v>410</v>
      </c>
      <c r="H462" s="1" t="s">
        <v>1171</v>
      </c>
      <c r="I462">
        <f t="shared" si="43"/>
        <v>6</v>
      </c>
      <c r="J462" t="str">
        <f t="shared" si="44"/>
        <v>Regular</v>
      </c>
      <c r="K462" t="str">
        <f t="shared" si="45"/>
        <v>Promoted</v>
      </c>
      <c r="L462" t="str">
        <f t="shared" si="46"/>
        <v>Known Employee</v>
      </c>
      <c r="M462">
        <f t="shared" si="48"/>
        <v>3</v>
      </c>
      <c r="N462" t="str">
        <f t="shared" si="47"/>
        <v>June</v>
      </c>
    </row>
    <row r="463" spans="1:14" x14ac:dyDescent="0.3">
      <c r="A463" s="2" t="s">
        <v>983</v>
      </c>
      <c r="B463" t="s">
        <v>137</v>
      </c>
      <c r="C463" s="2" t="s">
        <v>35</v>
      </c>
      <c r="D463" s="2" t="s">
        <v>140</v>
      </c>
      <c r="E463" s="2" t="s">
        <v>13</v>
      </c>
      <c r="F463" s="2" t="s">
        <v>14</v>
      </c>
      <c r="G463" s="3">
        <v>370</v>
      </c>
      <c r="H463" s="1" t="s">
        <v>984</v>
      </c>
      <c r="I463">
        <f t="shared" si="43"/>
        <v>6</v>
      </c>
      <c r="J463" t="str">
        <f t="shared" si="44"/>
        <v>Regular</v>
      </c>
      <c r="K463" t="str">
        <f t="shared" si="45"/>
        <v>Promoted</v>
      </c>
      <c r="L463" t="str">
        <f t="shared" si="46"/>
        <v>Known Employee</v>
      </c>
      <c r="M463">
        <f t="shared" si="48"/>
        <v>7</v>
      </c>
      <c r="N463" t="str">
        <f t="shared" si="47"/>
        <v>June</v>
      </c>
    </row>
    <row r="464" spans="1:14" x14ac:dyDescent="0.3">
      <c r="A464" s="2" t="s">
        <v>720</v>
      </c>
      <c r="B464" t="s">
        <v>249</v>
      </c>
      <c r="C464" s="2" t="s">
        <v>29</v>
      </c>
      <c r="D464" s="2" t="s">
        <v>30</v>
      </c>
      <c r="E464" s="2" t="s">
        <v>13</v>
      </c>
      <c r="F464" s="2" t="s">
        <v>65</v>
      </c>
      <c r="G464" s="3">
        <v>296</v>
      </c>
      <c r="H464" s="1" t="s">
        <v>721</v>
      </c>
      <c r="I464">
        <f t="shared" si="43"/>
        <v>6</v>
      </c>
      <c r="J464" t="str">
        <f t="shared" si="44"/>
        <v>Regular</v>
      </c>
      <c r="K464" t="str">
        <f t="shared" si="45"/>
        <v>Promoted</v>
      </c>
      <c r="L464" t="str">
        <f t="shared" si="46"/>
        <v>Known Employee</v>
      </c>
      <c r="M464">
        <f t="shared" si="48"/>
        <v>4</v>
      </c>
      <c r="N464" t="str">
        <f t="shared" si="47"/>
        <v>June</v>
      </c>
    </row>
    <row r="465" spans="1:14" x14ac:dyDescent="0.3">
      <c r="A465" s="2" t="s">
        <v>326</v>
      </c>
      <c r="B465" t="s">
        <v>328</v>
      </c>
      <c r="C465" s="2" t="s">
        <v>18</v>
      </c>
      <c r="D465" s="2" t="s">
        <v>12</v>
      </c>
      <c r="E465" s="2" t="s">
        <v>158</v>
      </c>
      <c r="F465" s="2" t="s">
        <v>40</v>
      </c>
      <c r="G465" s="3">
        <v>290.7</v>
      </c>
      <c r="H465" s="1" t="s">
        <v>1635</v>
      </c>
      <c r="I465">
        <f t="shared" si="43"/>
        <v>6</v>
      </c>
      <c r="J465" t="str">
        <f t="shared" si="44"/>
        <v>Regular</v>
      </c>
      <c r="K465" t="str">
        <f t="shared" si="45"/>
        <v>Promoted</v>
      </c>
      <c r="L465" t="str">
        <f t="shared" si="46"/>
        <v>Known Employee</v>
      </c>
      <c r="M465">
        <f t="shared" si="48"/>
        <v>3</v>
      </c>
      <c r="N465" t="str">
        <f t="shared" si="47"/>
        <v>June</v>
      </c>
    </row>
    <row r="466" spans="1:14" x14ac:dyDescent="0.3">
      <c r="A466" s="2" t="s">
        <v>1634</v>
      </c>
      <c r="B466" t="s">
        <v>497</v>
      </c>
      <c r="C466" s="2" t="s">
        <v>18</v>
      </c>
      <c r="D466" s="2" t="s">
        <v>295</v>
      </c>
      <c r="E466" s="2" t="s">
        <v>158</v>
      </c>
      <c r="F466" s="2" t="s">
        <v>25</v>
      </c>
      <c r="G466" s="3">
        <v>109.25</v>
      </c>
      <c r="H466" s="1" t="s">
        <v>1635</v>
      </c>
      <c r="I466">
        <f t="shared" si="43"/>
        <v>6</v>
      </c>
      <c r="J466" t="str">
        <f t="shared" si="44"/>
        <v>Regular</v>
      </c>
      <c r="K466" t="str">
        <f t="shared" si="45"/>
        <v>Promoted</v>
      </c>
      <c r="L466" t="str">
        <f t="shared" si="46"/>
        <v>Known Employee</v>
      </c>
      <c r="M466">
        <f t="shared" si="48"/>
        <v>6</v>
      </c>
      <c r="N466" t="str">
        <f t="shared" si="47"/>
        <v>June</v>
      </c>
    </row>
    <row r="467" spans="1:14" x14ac:dyDescent="0.3">
      <c r="A467" s="2" t="s">
        <v>1761</v>
      </c>
      <c r="B467" t="s">
        <v>497</v>
      </c>
      <c r="C467" s="2" t="s">
        <v>35</v>
      </c>
      <c r="D467" s="2" t="s">
        <v>72</v>
      </c>
      <c r="E467" s="2" t="s">
        <v>24</v>
      </c>
      <c r="F467" s="2" t="s">
        <v>14</v>
      </c>
      <c r="G467" s="3">
        <v>171</v>
      </c>
      <c r="H467" s="1" t="s">
        <v>1635</v>
      </c>
      <c r="I467">
        <f t="shared" si="43"/>
        <v>6</v>
      </c>
      <c r="J467" t="str">
        <f t="shared" si="44"/>
        <v>Regular</v>
      </c>
      <c r="K467" t="str">
        <f t="shared" si="45"/>
        <v>Promoted</v>
      </c>
      <c r="L467" t="str">
        <f t="shared" si="46"/>
        <v>Known Employee</v>
      </c>
      <c r="M467">
        <f t="shared" si="48"/>
        <v>6</v>
      </c>
      <c r="N467" t="str">
        <f t="shared" si="47"/>
        <v>June</v>
      </c>
    </row>
    <row r="468" spans="1:14" x14ac:dyDescent="0.3">
      <c r="A468" s="2" t="s">
        <v>1366</v>
      </c>
      <c r="B468" t="s">
        <v>454</v>
      </c>
      <c r="C468" s="2" t="s">
        <v>29</v>
      </c>
      <c r="D468" s="2" t="s">
        <v>30</v>
      </c>
      <c r="E468" s="2" t="s">
        <v>13</v>
      </c>
      <c r="F468" s="2" t="s">
        <v>25</v>
      </c>
      <c r="G468" s="3">
        <v>95</v>
      </c>
      <c r="H468" s="1" t="s">
        <v>1367</v>
      </c>
      <c r="I468">
        <f t="shared" si="43"/>
        <v>6</v>
      </c>
      <c r="J468" t="str">
        <f t="shared" si="44"/>
        <v>Regular</v>
      </c>
      <c r="K468" t="str">
        <f t="shared" si="45"/>
        <v>Promoted</v>
      </c>
      <c r="L468" t="str">
        <f t="shared" si="46"/>
        <v>Known Employee</v>
      </c>
      <c r="M468">
        <f t="shared" si="48"/>
        <v>4</v>
      </c>
      <c r="N468" t="str">
        <f t="shared" si="47"/>
        <v>June</v>
      </c>
    </row>
    <row r="469" spans="1:14" x14ac:dyDescent="0.3">
      <c r="A469" s="2" t="s">
        <v>1133</v>
      </c>
      <c r="B469" t="s">
        <v>17</v>
      </c>
      <c r="C469" s="2" t="s">
        <v>35</v>
      </c>
      <c r="D469" s="2" t="s">
        <v>36</v>
      </c>
      <c r="E469" s="2" t="s">
        <v>54</v>
      </c>
      <c r="F469" s="2" t="s">
        <v>25</v>
      </c>
      <c r="G469" s="3">
        <v>327.25</v>
      </c>
      <c r="H469" s="1" t="s">
        <v>1134</v>
      </c>
      <c r="I469">
        <f t="shared" si="43"/>
        <v>6</v>
      </c>
      <c r="J469" t="str">
        <f t="shared" si="44"/>
        <v>Regular</v>
      </c>
      <c r="K469" t="str">
        <f t="shared" si="45"/>
        <v>Promoted</v>
      </c>
      <c r="L469" t="str">
        <f t="shared" si="46"/>
        <v>Known Employee</v>
      </c>
      <c r="M469">
        <f t="shared" si="48"/>
        <v>4</v>
      </c>
      <c r="N469" t="str">
        <f t="shared" si="47"/>
        <v>June</v>
      </c>
    </row>
    <row r="470" spans="1:14" x14ac:dyDescent="0.3">
      <c r="A470" s="2" t="s">
        <v>1519</v>
      </c>
      <c r="B470" t="s">
        <v>174</v>
      </c>
      <c r="C470" s="2" t="s">
        <v>18</v>
      </c>
      <c r="D470" s="2" t="s">
        <v>23</v>
      </c>
      <c r="E470" s="2" t="s">
        <v>54</v>
      </c>
      <c r="F470" s="2" t="s">
        <v>40</v>
      </c>
      <c r="G470" s="3">
        <v>398.65</v>
      </c>
      <c r="H470" s="1" t="s">
        <v>1520</v>
      </c>
      <c r="I470">
        <f t="shared" si="43"/>
        <v>6</v>
      </c>
      <c r="J470" t="str">
        <f t="shared" si="44"/>
        <v>Regular</v>
      </c>
      <c r="K470" t="str">
        <f t="shared" si="45"/>
        <v>Promoted</v>
      </c>
      <c r="L470" t="str">
        <f t="shared" si="46"/>
        <v>Known Employee</v>
      </c>
      <c r="M470">
        <f t="shared" si="48"/>
        <v>9</v>
      </c>
      <c r="N470" t="str">
        <f t="shared" si="47"/>
        <v>June</v>
      </c>
    </row>
    <row r="471" spans="1:14" x14ac:dyDescent="0.3">
      <c r="A471" s="2" t="s">
        <v>1489</v>
      </c>
      <c r="B471" t="s">
        <v>1040</v>
      </c>
      <c r="C471" s="2" t="s">
        <v>479</v>
      </c>
      <c r="D471" s="2" t="s">
        <v>49</v>
      </c>
      <c r="E471" s="2" t="s">
        <v>13</v>
      </c>
      <c r="F471" s="2" t="s">
        <v>25</v>
      </c>
      <c r="G471" s="3">
        <v>560</v>
      </c>
      <c r="H471" s="1" t="s">
        <v>1490</v>
      </c>
      <c r="I471">
        <f t="shared" si="43"/>
        <v>6</v>
      </c>
      <c r="J471" t="str">
        <f t="shared" si="44"/>
        <v>Regular</v>
      </c>
      <c r="K471" t="str">
        <f t="shared" si="45"/>
        <v>Promoted</v>
      </c>
      <c r="L471" t="str">
        <f t="shared" si="46"/>
        <v>Known Employee</v>
      </c>
      <c r="M471">
        <f t="shared" si="48"/>
        <v>4</v>
      </c>
      <c r="N471" t="str">
        <f t="shared" si="47"/>
        <v>June</v>
      </c>
    </row>
    <row r="472" spans="1:14" x14ac:dyDescent="0.3">
      <c r="A472" s="2" t="s">
        <v>1085</v>
      </c>
      <c r="B472" t="s">
        <v>48</v>
      </c>
      <c r="C472" s="2" t="s">
        <v>18</v>
      </c>
      <c r="D472" s="2" t="s">
        <v>87</v>
      </c>
      <c r="E472" s="2" t="s">
        <v>13</v>
      </c>
      <c r="F472" s="2" t="s">
        <v>14</v>
      </c>
      <c r="G472" s="3">
        <v>399</v>
      </c>
      <c r="H472" s="1" t="s">
        <v>405</v>
      </c>
      <c r="I472">
        <f t="shared" si="43"/>
        <v>6</v>
      </c>
      <c r="J472" t="str">
        <f t="shared" si="44"/>
        <v>Regular</v>
      </c>
      <c r="K472" t="str">
        <f t="shared" si="45"/>
        <v>Promoted</v>
      </c>
      <c r="L472" t="str">
        <f t="shared" si="46"/>
        <v>Known Employee</v>
      </c>
      <c r="M472">
        <f t="shared" si="48"/>
        <v>4</v>
      </c>
      <c r="N472" t="str">
        <f t="shared" si="47"/>
        <v>June</v>
      </c>
    </row>
    <row r="473" spans="1:14" x14ac:dyDescent="0.3">
      <c r="A473" s="2" t="s">
        <v>1894</v>
      </c>
      <c r="B473" t="s">
        <v>75</v>
      </c>
      <c r="C473" s="2" t="s">
        <v>18</v>
      </c>
      <c r="D473" s="2" t="s">
        <v>87</v>
      </c>
      <c r="E473" s="2" t="s">
        <v>13</v>
      </c>
      <c r="F473" s="2" t="s">
        <v>40</v>
      </c>
      <c r="G473" s="3">
        <v>348</v>
      </c>
      <c r="H473" s="1" t="s">
        <v>405</v>
      </c>
      <c r="I473">
        <f t="shared" si="43"/>
        <v>6</v>
      </c>
      <c r="J473" t="str">
        <f t="shared" si="44"/>
        <v>Regular</v>
      </c>
      <c r="K473" t="str">
        <f t="shared" si="45"/>
        <v>Promoted</v>
      </c>
      <c r="L473" t="str">
        <f t="shared" si="46"/>
        <v>Known Employee</v>
      </c>
      <c r="M473">
        <f t="shared" si="48"/>
        <v>7</v>
      </c>
      <c r="N473" t="str">
        <f t="shared" si="47"/>
        <v>June</v>
      </c>
    </row>
    <row r="474" spans="1:14" x14ac:dyDescent="0.3">
      <c r="A474" s="2" t="s">
        <v>404</v>
      </c>
      <c r="B474" t="s">
        <v>406</v>
      </c>
      <c r="C474" s="2" t="s">
        <v>53</v>
      </c>
      <c r="D474" s="2" t="s">
        <v>138</v>
      </c>
      <c r="E474" s="2" t="s">
        <v>24</v>
      </c>
      <c r="F474" s="2" t="s">
        <v>65</v>
      </c>
      <c r="G474" s="3">
        <v>256.5</v>
      </c>
      <c r="H474" s="1" t="s">
        <v>405</v>
      </c>
      <c r="I474">
        <f t="shared" si="43"/>
        <v>6</v>
      </c>
      <c r="J474" t="str">
        <f t="shared" si="44"/>
        <v>Regular</v>
      </c>
      <c r="K474" t="str">
        <f t="shared" si="45"/>
        <v>Promoted</v>
      </c>
      <c r="L474" t="str">
        <f t="shared" si="46"/>
        <v>Known Employee</v>
      </c>
      <c r="M474">
        <f t="shared" si="48"/>
        <v>4</v>
      </c>
      <c r="N474" t="str">
        <f t="shared" si="47"/>
        <v>June</v>
      </c>
    </row>
    <row r="475" spans="1:14" x14ac:dyDescent="0.3">
      <c r="A475" s="2" t="s">
        <v>84</v>
      </c>
      <c r="B475" t="s">
        <v>86</v>
      </c>
      <c r="C475" s="2" t="s">
        <v>18</v>
      </c>
      <c r="D475" s="2" t="s">
        <v>87</v>
      </c>
      <c r="E475" s="2" t="s">
        <v>13</v>
      </c>
      <c r="F475" s="2" t="s">
        <v>1945</v>
      </c>
      <c r="G475" s="3">
        <v>340</v>
      </c>
      <c r="H475" s="1" t="s">
        <v>85</v>
      </c>
      <c r="I475">
        <f t="shared" si="43"/>
        <v>6</v>
      </c>
      <c r="J475" t="str">
        <f t="shared" si="44"/>
        <v>Regular</v>
      </c>
      <c r="K475" t="str">
        <f t="shared" si="45"/>
        <v>Promoted</v>
      </c>
      <c r="L475" t="str">
        <f t="shared" si="46"/>
        <v>Known Employee</v>
      </c>
      <c r="M475">
        <f t="shared" si="48"/>
        <v>5</v>
      </c>
      <c r="N475" t="str">
        <f t="shared" si="47"/>
        <v>June</v>
      </c>
    </row>
    <row r="476" spans="1:14" x14ac:dyDescent="0.3">
      <c r="A476" s="2" t="s">
        <v>217</v>
      </c>
      <c r="B476" t="s">
        <v>219</v>
      </c>
      <c r="C476" s="2" t="s">
        <v>29</v>
      </c>
      <c r="D476" s="2" t="s">
        <v>30</v>
      </c>
      <c r="E476" s="2" t="s">
        <v>13</v>
      </c>
      <c r="F476" s="2" t="s">
        <v>14</v>
      </c>
      <c r="G476" s="3">
        <v>370</v>
      </c>
      <c r="H476" s="1" t="s">
        <v>218</v>
      </c>
      <c r="I476">
        <f t="shared" si="43"/>
        <v>6</v>
      </c>
      <c r="J476" t="str">
        <f t="shared" si="44"/>
        <v>Regular</v>
      </c>
      <c r="K476" t="str">
        <f t="shared" si="45"/>
        <v>Promoted</v>
      </c>
      <c r="L476" t="str">
        <f t="shared" si="46"/>
        <v>Known Employee</v>
      </c>
      <c r="M476">
        <f t="shared" si="48"/>
        <v>4</v>
      </c>
      <c r="N476" t="str">
        <f t="shared" si="47"/>
        <v>June</v>
      </c>
    </row>
    <row r="477" spans="1:14" x14ac:dyDescent="0.3">
      <c r="A477" s="2" t="s">
        <v>1521</v>
      </c>
      <c r="B477" t="s">
        <v>282</v>
      </c>
      <c r="C477" s="2" t="s">
        <v>1945</v>
      </c>
      <c r="D477" s="2" t="s">
        <v>49</v>
      </c>
      <c r="E477" s="2" t="s">
        <v>13</v>
      </c>
      <c r="F477" s="2" t="s">
        <v>119</v>
      </c>
      <c r="G477" s="3">
        <v>835</v>
      </c>
      <c r="H477" s="1" t="s">
        <v>1522</v>
      </c>
      <c r="I477">
        <f t="shared" si="43"/>
        <v>7</v>
      </c>
      <c r="J477" t="str">
        <f t="shared" si="44"/>
        <v>Regular</v>
      </c>
      <c r="K477" t="str">
        <f t="shared" si="45"/>
        <v>Promoted</v>
      </c>
      <c r="L477" t="str">
        <f t="shared" si="46"/>
        <v>Known Employee</v>
      </c>
      <c r="M477">
        <f t="shared" si="48"/>
        <v>2</v>
      </c>
      <c r="N477" t="str">
        <f t="shared" si="47"/>
        <v>July</v>
      </c>
    </row>
    <row r="478" spans="1:14" x14ac:dyDescent="0.3">
      <c r="A478" s="2" t="s">
        <v>438</v>
      </c>
      <c r="B478" t="s">
        <v>292</v>
      </c>
      <c r="C478" s="2" t="s">
        <v>35</v>
      </c>
      <c r="D478" s="2" t="s">
        <v>440</v>
      </c>
      <c r="E478" s="2" t="s">
        <v>13</v>
      </c>
      <c r="F478" s="2" t="s">
        <v>25</v>
      </c>
      <c r="G478" s="3">
        <v>370</v>
      </c>
      <c r="H478" s="1" t="s">
        <v>439</v>
      </c>
      <c r="I478">
        <f t="shared" si="43"/>
        <v>7</v>
      </c>
      <c r="J478" t="str">
        <f t="shared" si="44"/>
        <v>Regular</v>
      </c>
      <c r="K478" t="str">
        <f t="shared" si="45"/>
        <v>Promoted</v>
      </c>
      <c r="L478" t="str">
        <f t="shared" si="46"/>
        <v>Known Employee</v>
      </c>
      <c r="M478">
        <f t="shared" si="48"/>
        <v>5</v>
      </c>
      <c r="N478" t="str">
        <f t="shared" si="47"/>
        <v>July</v>
      </c>
    </row>
    <row r="479" spans="1:14" x14ac:dyDescent="0.3">
      <c r="A479" s="2" t="s">
        <v>1411</v>
      </c>
      <c r="B479" t="s">
        <v>147</v>
      </c>
      <c r="C479" s="2" t="s">
        <v>18</v>
      </c>
      <c r="D479" s="2" t="s">
        <v>19</v>
      </c>
      <c r="E479" s="2" t="s">
        <v>54</v>
      </c>
      <c r="F479" s="2" t="s">
        <v>65</v>
      </c>
      <c r="G479" s="3">
        <v>425</v>
      </c>
      <c r="H479" s="1" t="s">
        <v>380</v>
      </c>
      <c r="I479">
        <f t="shared" si="43"/>
        <v>7</v>
      </c>
      <c r="J479" t="str">
        <f t="shared" si="44"/>
        <v>Regular</v>
      </c>
      <c r="K479" t="str">
        <f t="shared" si="45"/>
        <v>Promoted</v>
      </c>
      <c r="L479" t="str">
        <f t="shared" si="46"/>
        <v>Known Employee</v>
      </c>
      <c r="M479">
        <f t="shared" si="48"/>
        <v>4</v>
      </c>
      <c r="N479" t="str">
        <f t="shared" si="47"/>
        <v>July</v>
      </c>
    </row>
    <row r="480" spans="1:14" x14ac:dyDescent="0.3">
      <c r="A480" s="2" t="s">
        <v>379</v>
      </c>
      <c r="B480" t="s">
        <v>381</v>
      </c>
      <c r="C480" s="2" t="s">
        <v>246</v>
      </c>
      <c r="D480" s="2" t="s">
        <v>44</v>
      </c>
      <c r="E480" s="2" t="s">
        <v>13</v>
      </c>
      <c r="F480" s="2" t="s">
        <v>14</v>
      </c>
      <c r="G480" s="3">
        <v>150</v>
      </c>
      <c r="H480" s="1" t="s">
        <v>380</v>
      </c>
      <c r="I480">
        <f t="shared" si="43"/>
        <v>7</v>
      </c>
      <c r="J480" t="str">
        <f t="shared" si="44"/>
        <v>Regular</v>
      </c>
      <c r="K480" t="str">
        <f t="shared" si="45"/>
        <v>Promoted</v>
      </c>
      <c r="L480" t="str">
        <f t="shared" si="46"/>
        <v>Known Employee</v>
      </c>
      <c r="M480">
        <f t="shared" si="48"/>
        <v>5</v>
      </c>
      <c r="N480" t="str">
        <f t="shared" si="47"/>
        <v>July</v>
      </c>
    </row>
    <row r="481" spans="1:14" x14ac:dyDescent="0.3">
      <c r="A481" s="2" t="s">
        <v>1090</v>
      </c>
      <c r="B481" t="s">
        <v>258</v>
      </c>
      <c r="C481" s="2" t="s">
        <v>35</v>
      </c>
      <c r="D481" s="2" t="s">
        <v>340</v>
      </c>
      <c r="E481" s="2" t="s">
        <v>13</v>
      </c>
      <c r="F481" s="2" t="s">
        <v>507</v>
      </c>
      <c r="G481" s="3">
        <v>430</v>
      </c>
      <c r="H481" s="1" t="s">
        <v>1091</v>
      </c>
      <c r="I481">
        <f t="shared" si="43"/>
        <v>7</v>
      </c>
      <c r="J481" t="str">
        <f t="shared" si="44"/>
        <v>Regular</v>
      </c>
      <c r="K481" t="str">
        <f t="shared" si="45"/>
        <v>Promoted</v>
      </c>
      <c r="L481" t="str">
        <f t="shared" si="46"/>
        <v>Known Employee</v>
      </c>
      <c r="M481">
        <f t="shared" si="48"/>
        <v>8</v>
      </c>
      <c r="N481" t="str">
        <f t="shared" si="47"/>
        <v>July</v>
      </c>
    </row>
    <row r="482" spans="1:14" x14ac:dyDescent="0.3">
      <c r="A482" s="2" t="s">
        <v>1141</v>
      </c>
      <c r="B482" t="s">
        <v>406</v>
      </c>
      <c r="C482" s="2" t="s">
        <v>29</v>
      </c>
      <c r="D482" s="2" t="s">
        <v>123</v>
      </c>
      <c r="E482" s="2" t="s">
        <v>54</v>
      </c>
      <c r="F482" s="2" t="s">
        <v>14</v>
      </c>
      <c r="G482" s="3">
        <v>613.70000000000005</v>
      </c>
      <c r="H482" s="1" t="s">
        <v>1142</v>
      </c>
      <c r="I482">
        <f t="shared" si="43"/>
        <v>7</v>
      </c>
      <c r="J482" t="str">
        <f t="shared" si="44"/>
        <v>Regular</v>
      </c>
      <c r="K482" t="str">
        <f t="shared" si="45"/>
        <v>Promoted</v>
      </c>
      <c r="L482" t="str">
        <f t="shared" si="46"/>
        <v>Known Employee</v>
      </c>
      <c r="M482">
        <f t="shared" si="48"/>
        <v>4</v>
      </c>
      <c r="N482" t="str">
        <f t="shared" si="47"/>
        <v>July</v>
      </c>
    </row>
    <row r="483" spans="1:14" x14ac:dyDescent="0.3">
      <c r="A483" s="2" t="s">
        <v>1579</v>
      </c>
      <c r="B483" t="s">
        <v>22</v>
      </c>
      <c r="C483" s="2" t="s">
        <v>53</v>
      </c>
      <c r="D483" s="2" t="s">
        <v>83</v>
      </c>
      <c r="E483" s="2" t="s">
        <v>13</v>
      </c>
      <c r="F483" s="2" t="s">
        <v>25</v>
      </c>
      <c r="G483" s="3">
        <v>405</v>
      </c>
      <c r="H483" s="1" t="s">
        <v>9</v>
      </c>
      <c r="I483">
        <f t="shared" si="43"/>
        <v>7</v>
      </c>
      <c r="J483" t="str">
        <f t="shared" si="44"/>
        <v>Regular</v>
      </c>
      <c r="K483" t="str">
        <f t="shared" si="45"/>
        <v>Promoted</v>
      </c>
      <c r="L483" t="str">
        <f t="shared" si="46"/>
        <v>Known Employee</v>
      </c>
      <c r="M483">
        <f t="shared" si="48"/>
        <v>6</v>
      </c>
      <c r="N483" t="str">
        <f t="shared" si="47"/>
        <v>July</v>
      </c>
    </row>
    <row r="484" spans="1:14" x14ac:dyDescent="0.3">
      <c r="A484" s="2" t="s">
        <v>8</v>
      </c>
      <c r="B484" t="s">
        <v>10</v>
      </c>
      <c r="C484" s="2" t="s">
        <v>11</v>
      </c>
      <c r="D484" s="2" t="s">
        <v>12</v>
      </c>
      <c r="E484" s="2" t="s">
        <v>13</v>
      </c>
      <c r="F484" s="2" t="s">
        <v>14</v>
      </c>
      <c r="G484" s="3">
        <v>535</v>
      </c>
      <c r="H484" s="1" t="s">
        <v>9</v>
      </c>
      <c r="I484">
        <f t="shared" si="43"/>
        <v>7</v>
      </c>
      <c r="J484" t="str">
        <f t="shared" si="44"/>
        <v>Regular</v>
      </c>
      <c r="K484" t="str">
        <f t="shared" si="45"/>
        <v>Promoted</v>
      </c>
      <c r="L484" t="str">
        <f t="shared" si="46"/>
        <v>Known Employee</v>
      </c>
      <c r="M484">
        <f t="shared" si="48"/>
        <v>6</v>
      </c>
      <c r="N484" t="str">
        <f t="shared" si="47"/>
        <v>July</v>
      </c>
    </row>
    <row r="485" spans="1:14" x14ac:dyDescent="0.3">
      <c r="A485" s="2" t="s">
        <v>296</v>
      </c>
      <c r="B485" t="s">
        <v>298</v>
      </c>
      <c r="C485" s="2" t="s">
        <v>53</v>
      </c>
      <c r="D485" s="2" t="s">
        <v>118</v>
      </c>
      <c r="E485" s="2" t="s">
        <v>158</v>
      </c>
      <c r="F485" s="2" t="s">
        <v>25</v>
      </c>
      <c r="G485" s="3">
        <v>205.2</v>
      </c>
      <c r="H485" s="1" t="s">
        <v>297</v>
      </c>
      <c r="I485">
        <f t="shared" si="43"/>
        <v>7</v>
      </c>
      <c r="J485" t="str">
        <f t="shared" si="44"/>
        <v>Regular</v>
      </c>
      <c r="K485" t="str">
        <f t="shared" si="45"/>
        <v>Promoted</v>
      </c>
      <c r="L485" t="str">
        <f t="shared" si="46"/>
        <v>Known Employee</v>
      </c>
      <c r="M485">
        <f t="shared" si="48"/>
        <v>2</v>
      </c>
      <c r="N485" t="str">
        <f t="shared" si="47"/>
        <v>July</v>
      </c>
    </row>
    <row r="486" spans="1:14" x14ac:dyDescent="0.3">
      <c r="A486" s="2" t="s">
        <v>946</v>
      </c>
      <c r="B486" t="s">
        <v>114</v>
      </c>
      <c r="C486" s="2" t="s">
        <v>18</v>
      </c>
      <c r="D486" s="2" t="s">
        <v>948</v>
      </c>
      <c r="E486" s="2" t="s">
        <v>24</v>
      </c>
      <c r="F486" s="2" t="s">
        <v>14</v>
      </c>
      <c r="G486" s="3">
        <v>585</v>
      </c>
      <c r="H486" s="1" t="s">
        <v>947</v>
      </c>
      <c r="I486">
        <f t="shared" si="43"/>
        <v>7</v>
      </c>
      <c r="J486" t="str">
        <f t="shared" si="44"/>
        <v>Regular</v>
      </c>
      <c r="K486" t="str">
        <f t="shared" si="45"/>
        <v>Promoted</v>
      </c>
      <c r="L486" t="str">
        <f t="shared" si="46"/>
        <v>Known Employee</v>
      </c>
      <c r="M486">
        <f t="shared" si="48"/>
        <v>3</v>
      </c>
      <c r="N486" t="str">
        <f t="shared" si="47"/>
        <v>July</v>
      </c>
    </row>
    <row r="487" spans="1:14" x14ac:dyDescent="0.3">
      <c r="A487" s="2" t="s">
        <v>1332</v>
      </c>
      <c r="B487" t="s">
        <v>534</v>
      </c>
      <c r="C487" s="2" t="s">
        <v>53</v>
      </c>
      <c r="D487" s="2" t="s">
        <v>118</v>
      </c>
      <c r="E487" s="2" t="s">
        <v>54</v>
      </c>
      <c r="F487" s="2" t="s">
        <v>25</v>
      </c>
      <c r="G487" s="3">
        <v>522.75</v>
      </c>
      <c r="H487" s="1" t="s">
        <v>947</v>
      </c>
      <c r="I487">
        <f t="shared" si="43"/>
        <v>7</v>
      </c>
      <c r="J487" t="str">
        <f t="shared" si="44"/>
        <v>Regular</v>
      </c>
      <c r="K487" t="str">
        <f t="shared" si="45"/>
        <v>Promoted</v>
      </c>
      <c r="L487" t="str">
        <f t="shared" si="46"/>
        <v>Known Employee</v>
      </c>
      <c r="M487">
        <f t="shared" si="48"/>
        <v>5</v>
      </c>
      <c r="N487" t="str">
        <f t="shared" si="47"/>
        <v>July</v>
      </c>
    </row>
    <row r="488" spans="1:14" x14ac:dyDescent="0.3">
      <c r="A488" s="2" t="s">
        <v>1097</v>
      </c>
      <c r="B488" t="s">
        <v>901</v>
      </c>
      <c r="C488" s="2" t="s">
        <v>53</v>
      </c>
      <c r="D488" s="2" t="s">
        <v>104</v>
      </c>
      <c r="E488" s="2" t="s">
        <v>13</v>
      </c>
      <c r="F488" s="2" t="s">
        <v>144</v>
      </c>
      <c r="G488" s="3">
        <v>340</v>
      </c>
      <c r="H488" s="1" t="s">
        <v>947</v>
      </c>
      <c r="I488">
        <f t="shared" si="43"/>
        <v>7</v>
      </c>
      <c r="J488" t="str">
        <f t="shared" si="44"/>
        <v>Regular</v>
      </c>
      <c r="K488" t="str">
        <f t="shared" si="45"/>
        <v>Promoted</v>
      </c>
      <c r="L488" t="str">
        <f t="shared" si="46"/>
        <v>Known Employee</v>
      </c>
      <c r="M488">
        <f t="shared" si="48"/>
        <v>4</v>
      </c>
      <c r="N488" t="str">
        <f t="shared" si="47"/>
        <v>July</v>
      </c>
    </row>
    <row r="489" spans="1:14" x14ac:dyDescent="0.3">
      <c r="A489" s="2" t="s">
        <v>1648</v>
      </c>
      <c r="B489" t="s">
        <v>736</v>
      </c>
      <c r="C489" s="2" t="s">
        <v>18</v>
      </c>
      <c r="D489" s="2" t="s">
        <v>12</v>
      </c>
      <c r="E489" s="2" t="s">
        <v>13</v>
      </c>
      <c r="F489" s="2" t="s">
        <v>65</v>
      </c>
      <c r="G489" s="3">
        <v>223</v>
      </c>
      <c r="H489" s="1" t="s">
        <v>1649</v>
      </c>
      <c r="I489">
        <f t="shared" si="43"/>
        <v>7</v>
      </c>
      <c r="J489" t="str">
        <f t="shared" si="44"/>
        <v>Regular</v>
      </c>
      <c r="K489" t="str">
        <f t="shared" si="45"/>
        <v>Promoted</v>
      </c>
      <c r="L489" t="str">
        <f t="shared" si="46"/>
        <v>Known Employee</v>
      </c>
      <c r="M489">
        <f t="shared" si="48"/>
        <v>8</v>
      </c>
      <c r="N489" t="str">
        <f t="shared" si="47"/>
        <v>July</v>
      </c>
    </row>
    <row r="490" spans="1:14" x14ac:dyDescent="0.3">
      <c r="A490" s="2" t="s">
        <v>1009</v>
      </c>
      <c r="B490" t="s">
        <v>230</v>
      </c>
      <c r="C490" s="2" t="s">
        <v>35</v>
      </c>
      <c r="D490" s="2" t="s">
        <v>44</v>
      </c>
      <c r="E490" s="2" t="s">
        <v>13</v>
      </c>
      <c r="F490" s="2" t="s">
        <v>14</v>
      </c>
      <c r="G490" s="3">
        <v>640</v>
      </c>
      <c r="H490" s="1" t="s">
        <v>1010</v>
      </c>
      <c r="I490">
        <f t="shared" si="43"/>
        <v>7</v>
      </c>
      <c r="J490" t="str">
        <f t="shared" si="44"/>
        <v>Regular</v>
      </c>
      <c r="K490" t="str">
        <f t="shared" si="45"/>
        <v>Promoted</v>
      </c>
      <c r="L490" t="str">
        <f t="shared" si="46"/>
        <v>Known Employee</v>
      </c>
      <c r="M490">
        <f t="shared" si="48"/>
        <v>6</v>
      </c>
      <c r="N490" t="str">
        <f t="shared" si="47"/>
        <v>July</v>
      </c>
    </row>
    <row r="491" spans="1:14" x14ac:dyDescent="0.3">
      <c r="A491" s="2" t="s">
        <v>1680</v>
      </c>
      <c r="B491" t="s">
        <v>10</v>
      </c>
      <c r="C491" s="2" t="s">
        <v>18</v>
      </c>
      <c r="D491" s="2" t="s">
        <v>87</v>
      </c>
      <c r="E491" s="2" t="s">
        <v>13</v>
      </c>
      <c r="F491" s="2" t="s">
        <v>65</v>
      </c>
      <c r="G491" s="3">
        <v>455</v>
      </c>
      <c r="H491" s="1" t="s">
        <v>1681</v>
      </c>
      <c r="I491">
        <f t="shared" si="43"/>
        <v>7</v>
      </c>
      <c r="J491" t="str">
        <f t="shared" si="44"/>
        <v>Regular</v>
      </c>
      <c r="K491" t="str">
        <f t="shared" si="45"/>
        <v>Promoted</v>
      </c>
      <c r="L491" t="str">
        <f t="shared" si="46"/>
        <v>Known Employee</v>
      </c>
      <c r="M491">
        <f t="shared" si="48"/>
        <v>6</v>
      </c>
      <c r="N491" t="str">
        <f t="shared" si="47"/>
        <v>July</v>
      </c>
    </row>
    <row r="492" spans="1:14" x14ac:dyDescent="0.3">
      <c r="A492" s="2" t="s">
        <v>1903</v>
      </c>
      <c r="B492" t="s">
        <v>988</v>
      </c>
      <c r="C492" s="2" t="s">
        <v>18</v>
      </c>
      <c r="D492" s="2" t="s">
        <v>295</v>
      </c>
      <c r="E492" s="2" t="s">
        <v>13</v>
      </c>
      <c r="F492" s="2" t="s">
        <v>65</v>
      </c>
      <c r="G492" s="3">
        <v>180</v>
      </c>
      <c r="H492" s="1" t="s">
        <v>1681</v>
      </c>
      <c r="I492">
        <f t="shared" si="43"/>
        <v>7</v>
      </c>
      <c r="J492" t="str">
        <f t="shared" si="44"/>
        <v>Regular</v>
      </c>
      <c r="K492" t="str">
        <f t="shared" si="45"/>
        <v>Promoted</v>
      </c>
      <c r="L492" t="str">
        <f t="shared" si="46"/>
        <v>Known Employee</v>
      </c>
      <c r="M492">
        <f t="shared" si="48"/>
        <v>3</v>
      </c>
      <c r="N492" t="str">
        <f t="shared" si="47"/>
        <v>July</v>
      </c>
    </row>
    <row r="493" spans="1:14" x14ac:dyDescent="0.3">
      <c r="A493" s="2" t="s">
        <v>1255</v>
      </c>
      <c r="B493" t="s">
        <v>1257</v>
      </c>
      <c r="C493" s="2" t="s">
        <v>53</v>
      </c>
      <c r="D493" s="2" t="s">
        <v>118</v>
      </c>
      <c r="E493" s="2" t="s">
        <v>13</v>
      </c>
      <c r="F493" s="2" t="s">
        <v>14</v>
      </c>
      <c r="G493" s="3">
        <v>570</v>
      </c>
      <c r="H493" s="1" t="s">
        <v>1256</v>
      </c>
      <c r="I493">
        <f t="shared" si="43"/>
        <v>7</v>
      </c>
      <c r="J493" t="str">
        <f t="shared" si="44"/>
        <v>Regular</v>
      </c>
      <c r="K493" t="str">
        <f t="shared" si="45"/>
        <v>Promoted</v>
      </c>
      <c r="L493" t="str">
        <f t="shared" si="46"/>
        <v>Known Employee</v>
      </c>
      <c r="M493">
        <f t="shared" si="48"/>
        <v>1</v>
      </c>
      <c r="N493" t="str">
        <f t="shared" si="47"/>
        <v>July</v>
      </c>
    </row>
    <row r="494" spans="1:14" x14ac:dyDescent="0.3">
      <c r="A494" s="2" t="s">
        <v>96</v>
      </c>
      <c r="B494" t="s">
        <v>98</v>
      </c>
      <c r="C494" s="2" t="s">
        <v>53</v>
      </c>
      <c r="D494" s="2" t="s">
        <v>83</v>
      </c>
      <c r="E494" s="2" t="s">
        <v>13</v>
      </c>
      <c r="F494" s="2" t="s">
        <v>25</v>
      </c>
      <c r="G494" s="3">
        <v>255</v>
      </c>
      <c r="H494" s="1" t="s">
        <v>97</v>
      </c>
      <c r="I494">
        <f t="shared" si="43"/>
        <v>7</v>
      </c>
      <c r="J494" t="str">
        <f t="shared" si="44"/>
        <v>Regular</v>
      </c>
      <c r="K494" t="str">
        <f t="shared" si="45"/>
        <v>Promoted</v>
      </c>
      <c r="L494" t="str">
        <f t="shared" si="46"/>
        <v>Known Employee</v>
      </c>
      <c r="M494">
        <f t="shared" si="48"/>
        <v>5</v>
      </c>
      <c r="N494" t="str">
        <f t="shared" si="47"/>
        <v>July</v>
      </c>
    </row>
    <row r="495" spans="1:14" x14ac:dyDescent="0.3">
      <c r="A495" s="2" t="s">
        <v>1201</v>
      </c>
      <c r="B495" t="s">
        <v>126</v>
      </c>
      <c r="C495" s="2" t="s">
        <v>18</v>
      </c>
      <c r="D495" s="2" t="s">
        <v>87</v>
      </c>
      <c r="E495" s="2" t="s">
        <v>13</v>
      </c>
      <c r="F495" s="2" t="s">
        <v>14</v>
      </c>
      <c r="G495" s="3">
        <v>415</v>
      </c>
      <c r="H495" s="1" t="s">
        <v>1202</v>
      </c>
      <c r="I495">
        <f t="shared" si="43"/>
        <v>8</v>
      </c>
      <c r="J495" t="str">
        <f t="shared" si="44"/>
        <v>Rakshabandhan</v>
      </c>
      <c r="K495" t="str">
        <f t="shared" si="45"/>
        <v>Promoted</v>
      </c>
      <c r="L495" t="str">
        <f t="shared" si="46"/>
        <v>Known Employee</v>
      </c>
      <c r="M495">
        <f t="shared" si="48"/>
        <v>4</v>
      </c>
      <c r="N495" t="str">
        <f t="shared" si="47"/>
        <v>August</v>
      </c>
    </row>
    <row r="496" spans="1:14" x14ac:dyDescent="0.3">
      <c r="A496" s="2" t="s">
        <v>1264</v>
      </c>
      <c r="B496" t="s">
        <v>400</v>
      </c>
      <c r="C496" s="2" t="s">
        <v>35</v>
      </c>
      <c r="D496" s="2" t="s">
        <v>340</v>
      </c>
      <c r="E496" s="2" t="s">
        <v>13</v>
      </c>
      <c r="F496" s="2" t="s">
        <v>65</v>
      </c>
      <c r="G496" s="3">
        <v>601</v>
      </c>
      <c r="H496" s="1" t="s">
        <v>1265</v>
      </c>
      <c r="I496">
        <f t="shared" si="43"/>
        <v>8</v>
      </c>
      <c r="J496" t="str">
        <f t="shared" si="44"/>
        <v>Rakshabandhan</v>
      </c>
      <c r="K496" t="str">
        <f t="shared" si="45"/>
        <v>Promoted</v>
      </c>
      <c r="L496" t="str">
        <f t="shared" si="46"/>
        <v>Known Employee</v>
      </c>
      <c r="M496">
        <f t="shared" si="48"/>
        <v>5</v>
      </c>
      <c r="N496" t="str">
        <f t="shared" si="47"/>
        <v>August</v>
      </c>
    </row>
    <row r="497" spans="1:14" x14ac:dyDescent="0.3">
      <c r="A497" s="2" t="s">
        <v>501</v>
      </c>
      <c r="B497" t="s">
        <v>503</v>
      </c>
      <c r="C497" s="2" t="s">
        <v>29</v>
      </c>
      <c r="D497" s="2" t="s">
        <v>200</v>
      </c>
      <c r="E497" s="2" t="s">
        <v>13</v>
      </c>
      <c r="F497" s="2" t="s">
        <v>1945</v>
      </c>
      <c r="G497" s="3">
        <v>465</v>
      </c>
      <c r="H497" s="1" t="s">
        <v>502</v>
      </c>
      <c r="I497">
        <f t="shared" si="43"/>
        <v>8</v>
      </c>
      <c r="J497" t="str">
        <f t="shared" si="44"/>
        <v>Rakshabandhan</v>
      </c>
      <c r="K497" t="str">
        <f t="shared" si="45"/>
        <v>Promoted</v>
      </c>
      <c r="L497" t="str">
        <f t="shared" si="46"/>
        <v>Known Employee</v>
      </c>
      <c r="M497">
        <f t="shared" si="48"/>
        <v>5</v>
      </c>
      <c r="N497" t="str">
        <f t="shared" si="47"/>
        <v>August</v>
      </c>
    </row>
    <row r="498" spans="1:14" x14ac:dyDescent="0.3">
      <c r="A498" s="2" t="s">
        <v>1810</v>
      </c>
      <c r="B498" t="s">
        <v>252</v>
      </c>
      <c r="C498" s="2" t="s">
        <v>53</v>
      </c>
      <c r="D498" s="2" t="s">
        <v>138</v>
      </c>
      <c r="E498" s="2" t="s">
        <v>13</v>
      </c>
      <c r="F498" s="2" t="s">
        <v>40</v>
      </c>
      <c r="G498" s="3">
        <v>160</v>
      </c>
      <c r="H498" s="1" t="s">
        <v>502</v>
      </c>
      <c r="I498">
        <f t="shared" si="43"/>
        <v>8</v>
      </c>
      <c r="J498" t="str">
        <f t="shared" si="44"/>
        <v>Rakshabandhan</v>
      </c>
      <c r="K498" t="str">
        <f t="shared" si="45"/>
        <v>Promoted</v>
      </c>
      <c r="L498" t="str">
        <f t="shared" si="46"/>
        <v>Known Employee</v>
      </c>
      <c r="M498">
        <f t="shared" si="48"/>
        <v>3</v>
      </c>
      <c r="N498" t="str">
        <f t="shared" si="47"/>
        <v>August</v>
      </c>
    </row>
    <row r="499" spans="1:14" x14ac:dyDescent="0.3">
      <c r="A499" s="2" t="s">
        <v>1137</v>
      </c>
      <c r="B499" t="s">
        <v>1000</v>
      </c>
      <c r="C499" s="2" t="s">
        <v>29</v>
      </c>
      <c r="D499" s="2" t="s">
        <v>30</v>
      </c>
      <c r="E499" s="2" t="s">
        <v>13</v>
      </c>
      <c r="F499" s="2" t="s">
        <v>40</v>
      </c>
      <c r="G499" s="3">
        <v>414</v>
      </c>
      <c r="H499" s="1" t="s">
        <v>1138</v>
      </c>
      <c r="I499">
        <f t="shared" si="43"/>
        <v>8</v>
      </c>
      <c r="J499" t="str">
        <f t="shared" si="44"/>
        <v>Rakshabandhan</v>
      </c>
      <c r="K499" t="str">
        <f t="shared" si="45"/>
        <v>Promoted</v>
      </c>
      <c r="L499" t="str">
        <f t="shared" si="46"/>
        <v>Known Employee</v>
      </c>
      <c r="M499">
        <f t="shared" si="48"/>
        <v>3</v>
      </c>
      <c r="N499" t="str">
        <f t="shared" si="47"/>
        <v>August</v>
      </c>
    </row>
    <row r="500" spans="1:14" x14ac:dyDescent="0.3">
      <c r="A500" s="2" t="s">
        <v>1110</v>
      </c>
      <c r="B500" t="s">
        <v>578</v>
      </c>
      <c r="C500" s="2" t="s">
        <v>35</v>
      </c>
      <c r="D500" s="2" t="s">
        <v>72</v>
      </c>
      <c r="E500" s="2" t="s">
        <v>158</v>
      </c>
      <c r="F500" s="2" t="s">
        <v>25</v>
      </c>
      <c r="G500" s="3">
        <v>755.25</v>
      </c>
      <c r="H500" s="1" t="s">
        <v>288</v>
      </c>
      <c r="I500">
        <f t="shared" si="43"/>
        <v>8</v>
      </c>
      <c r="J500" t="str">
        <f t="shared" si="44"/>
        <v>Rakshabandhan</v>
      </c>
      <c r="K500" t="str">
        <f t="shared" si="45"/>
        <v>Promoted</v>
      </c>
      <c r="L500" t="str">
        <f t="shared" si="46"/>
        <v>Known Employee</v>
      </c>
      <c r="M500">
        <f t="shared" si="48"/>
        <v>2</v>
      </c>
      <c r="N500" t="str">
        <f t="shared" si="47"/>
        <v>August</v>
      </c>
    </row>
    <row r="501" spans="1:14" x14ac:dyDescent="0.3">
      <c r="A501" s="2" t="s">
        <v>749</v>
      </c>
      <c r="B501" t="s">
        <v>543</v>
      </c>
      <c r="C501" s="2" t="s">
        <v>53</v>
      </c>
      <c r="D501" s="2" t="s">
        <v>76</v>
      </c>
      <c r="E501" s="2" t="s">
        <v>158</v>
      </c>
      <c r="F501" s="2" t="s">
        <v>65</v>
      </c>
      <c r="G501" s="3">
        <v>302.10000000000002</v>
      </c>
      <c r="H501" s="1" t="s">
        <v>288</v>
      </c>
      <c r="I501">
        <f t="shared" si="43"/>
        <v>8</v>
      </c>
      <c r="J501" t="str">
        <f t="shared" si="44"/>
        <v>Rakshabandhan</v>
      </c>
      <c r="K501" t="str">
        <f t="shared" si="45"/>
        <v>Promoted</v>
      </c>
      <c r="L501" t="str">
        <f t="shared" si="46"/>
        <v>Known Employee</v>
      </c>
      <c r="M501">
        <f t="shared" si="48"/>
        <v>5</v>
      </c>
      <c r="N501" t="str">
        <f t="shared" si="47"/>
        <v>August</v>
      </c>
    </row>
    <row r="502" spans="1:14" x14ac:dyDescent="0.3">
      <c r="A502" s="2" t="s">
        <v>1226</v>
      </c>
      <c r="B502" t="s">
        <v>1227</v>
      </c>
      <c r="C502" s="2" t="s">
        <v>35</v>
      </c>
      <c r="D502" s="2" t="s">
        <v>340</v>
      </c>
      <c r="E502" s="2" t="s">
        <v>13</v>
      </c>
      <c r="F502" s="2" t="s">
        <v>25</v>
      </c>
      <c r="G502" s="3">
        <v>640</v>
      </c>
      <c r="H502" s="1" t="s">
        <v>288</v>
      </c>
      <c r="I502">
        <f t="shared" si="43"/>
        <v>8</v>
      </c>
      <c r="J502" t="str">
        <f t="shared" si="44"/>
        <v>Rakshabandhan</v>
      </c>
      <c r="K502" t="str">
        <f t="shared" si="45"/>
        <v>Promoted</v>
      </c>
      <c r="L502" t="str">
        <f t="shared" si="46"/>
        <v>Known Employee</v>
      </c>
      <c r="M502">
        <f t="shared" si="48"/>
        <v>2</v>
      </c>
      <c r="N502" t="str">
        <f t="shared" si="47"/>
        <v>August</v>
      </c>
    </row>
    <row r="503" spans="1:14" x14ac:dyDescent="0.3">
      <c r="A503" s="2" t="s">
        <v>823</v>
      </c>
      <c r="B503" t="s">
        <v>825</v>
      </c>
      <c r="C503" s="2" t="s">
        <v>53</v>
      </c>
      <c r="D503" s="2" t="s">
        <v>76</v>
      </c>
      <c r="E503" s="2" t="s">
        <v>13</v>
      </c>
      <c r="F503" s="2" t="s">
        <v>25</v>
      </c>
      <c r="G503" s="3">
        <v>70</v>
      </c>
      <c r="H503" s="1" t="s">
        <v>824</v>
      </c>
      <c r="I503">
        <f t="shared" si="43"/>
        <v>8</v>
      </c>
      <c r="J503" t="str">
        <f t="shared" si="44"/>
        <v>Rakshabandhan</v>
      </c>
      <c r="K503" t="str">
        <f t="shared" si="45"/>
        <v>Promoted</v>
      </c>
      <c r="L503" t="str">
        <f t="shared" si="46"/>
        <v>Known Employee</v>
      </c>
      <c r="M503">
        <f t="shared" si="48"/>
        <v>4</v>
      </c>
      <c r="N503" t="str">
        <f t="shared" si="47"/>
        <v>August</v>
      </c>
    </row>
    <row r="504" spans="1:14" x14ac:dyDescent="0.3">
      <c r="A504" s="2" t="s">
        <v>1069</v>
      </c>
      <c r="B504" t="s">
        <v>1070</v>
      </c>
      <c r="C504" s="2" t="s">
        <v>35</v>
      </c>
      <c r="D504" s="2" t="s">
        <v>44</v>
      </c>
      <c r="E504" s="2" t="s">
        <v>1946</v>
      </c>
      <c r="F504" s="2" t="s">
        <v>65</v>
      </c>
      <c r="G504" s="3">
        <v>380</v>
      </c>
      <c r="H504" s="1" t="s">
        <v>1065</v>
      </c>
      <c r="I504">
        <f t="shared" si="43"/>
        <v>8</v>
      </c>
      <c r="J504" t="str">
        <f t="shared" si="44"/>
        <v>Rakshabandhan</v>
      </c>
      <c r="K504" t="str">
        <f t="shared" si="45"/>
        <v>Not Promoted</v>
      </c>
      <c r="L504" t="str">
        <f t="shared" si="46"/>
        <v>Known Employee</v>
      </c>
      <c r="M504">
        <f t="shared" si="48"/>
        <v>5</v>
      </c>
      <c r="N504" t="str">
        <f t="shared" si="47"/>
        <v>August</v>
      </c>
    </row>
    <row r="505" spans="1:14" x14ac:dyDescent="0.3">
      <c r="A505" s="2" t="s">
        <v>1064</v>
      </c>
      <c r="B505" t="s">
        <v>343</v>
      </c>
      <c r="C505" s="2" t="s">
        <v>157</v>
      </c>
      <c r="D505" s="2" t="s">
        <v>1066</v>
      </c>
      <c r="E505" s="2" t="s">
        <v>158</v>
      </c>
      <c r="F505" s="2" t="s">
        <v>25</v>
      </c>
      <c r="G505" s="3">
        <v>318.25</v>
      </c>
      <c r="H505" s="1" t="s">
        <v>1065</v>
      </c>
      <c r="I505">
        <f t="shared" si="43"/>
        <v>8</v>
      </c>
      <c r="J505" t="str">
        <f t="shared" si="44"/>
        <v>Rakshabandhan</v>
      </c>
      <c r="K505" t="str">
        <f t="shared" si="45"/>
        <v>Promoted</v>
      </c>
      <c r="L505" t="str">
        <f t="shared" si="46"/>
        <v>Known Employee</v>
      </c>
      <c r="M505">
        <f t="shared" si="48"/>
        <v>7</v>
      </c>
      <c r="N505" t="str">
        <f t="shared" si="47"/>
        <v>August</v>
      </c>
    </row>
    <row r="506" spans="1:14" x14ac:dyDescent="0.3">
      <c r="A506" s="2" t="s">
        <v>1561</v>
      </c>
      <c r="B506" t="s">
        <v>230</v>
      </c>
      <c r="C506" s="2" t="s">
        <v>18</v>
      </c>
      <c r="D506" s="2" t="s">
        <v>87</v>
      </c>
      <c r="E506" s="2" t="s">
        <v>24</v>
      </c>
      <c r="F506" s="2" t="s">
        <v>14</v>
      </c>
      <c r="G506" s="3">
        <v>207</v>
      </c>
      <c r="H506" s="1" t="s">
        <v>500</v>
      </c>
      <c r="I506">
        <f t="shared" si="43"/>
        <v>8</v>
      </c>
      <c r="J506" t="str">
        <f t="shared" si="44"/>
        <v>Rakshabandhan</v>
      </c>
      <c r="K506" t="str">
        <f t="shared" si="45"/>
        <v>Promoted</v>
      </c>
      <c r="L506" t="str">
        <f t="shared" si="46"/>
        <v>Known Employee</v>
      </c>
      <c r="M506">
        <f t="shared" si="48"/>
        <v>6</v>
      </c>
      <c r="N506" t="str">
        <f t="shared" si="47"/>
        <v>August</v>
      </c>
    </row>
    <row r="507" spans="1:14" x14ac:dyDescent="0.3">
      <c r="A507" s="2" t="s">
        <v>499</v>
      </c>
      <c r="B507" t="s">
        <v>137</v>
      </c>
      <c r="C507" s="2" t="s">
        <v>35</v>
      </c>
      <c r="D507" s="2" t="s">
        <v>44</v>
      </c>
      <c r="E507" s="2" t="s">
        <v>24</v>
      </c>
      <c r="F507" s="2" t="s">
        <v>25</v>
      </c>
      <c r="G507" s="3">
        <v>162</v>
      </c>
      <c r="H507" s="1" t="s">
        <v>500</v>
      </c>
      <c r="I507">
        <f t="shared" si="43"/>
        <v>8</v>
      </c>
      <c r="J507" t="str">
        <f t="shared" si="44"/>
        <v>Rakshabandhan</v>
      </c>
      <c r="K507" t="str">
        <f t="shared" si="45"/>
        <v>Promoted</v>
      </c>
      <c r="L507" t="str">
        <f t="shared" si="46"/>
        <v>Known Employee</v>
      </c>
      <c r="M507">
        <f t="shared" si="48"/>
        <v>7</v>
      </c>
      <c r="N507" t="str">
        <f t="shared" si="47"/>
        <v>August</v>
      </c>
    </row>
    <row r="508" spans="1:14" x14ac:dyDescent="0.3">
      <c r="A508" s="2" t="s">
        <v>852</v>
      </c>
      <c r="B508" t="s">
        <v>770</v>
      </c>
      <c r="C508" s="2" t="s">
        <v>29</v>
      </c>
      <c r="D508" s="2" t="s">
        <v>49</v>
      </c>
      <c r="E508" s="2" t="s">
        <v>289</v>
      </c>
      <c r="F508" s="2" t="s">
        <v>25</v>
      </c>
      <c r="G508" s="3">
        <v>171</v>
      </c>
      <c r="H508" s="1" t="s">
        <v>853</v>
      </c>
      <c r="I508">
        <f t="shared" si="43"/>
        <v>8</v>
      </c>
      <c r="J508" t="str">
        <f t="shared" si="44"/>
        <v>Rakshabandhan</v>
      </c>
      <c r="K508" t="str">
        <f t="shared" si="45"/>
        <v>Promoted</v>
      </c>
      <c r="L508" t="str">
        <f t="shared" si="46"/>
        <v>Known Employee</v>
      </c>
      <c r="M508">
        <f t="shared" si="48"/>
        <v>5</v>
      </c>
      <c r="N508" t="str">
        <f t="shared" si="47"/>
        <v>August</v>
      </c>
    </row>
    <row r="509" spans="1:14" x14ac:dyDescent="0.3">
      <c r="A509" s="2" t="s">
        <v>88</v>
      </c>
      <c r="B509" t="s">
        <v>90</v>
      </c>
      <c r="C509" s="2" t="s">
        <v>18</v>
      </c>
      <c r="D509" s="2" t="s">
        <v>87</v>
      </c>
      <c r="E509" s="2" t="s">
        <v>13</v>
      </c>
      <c r="F509" s="2" t="s">
        <v>25</v>
      </c>
      <c r="G509" s="3">
        <v>201</v>
      </c>
      <c r="H509" s="1" t="s">
        <v>89</v>
      </c>
      <c r="I509">
        <f t="shared" si="43"/>
        <v>8</v>
      </c>
      <c r="J509" t="str">
        <f t="shared" si="44"/>
        <v>Rakshabandhan</v>
      </c>
      <c r="K509" t="str">
        <f t="shared" si="45"/>
        <v>Promoted</v>
      </c>
      <c r="L509" t="str">
        <f t="shared" si="46"/>
        <v>Known Employee</v>
      </c>
      <c r="M509">
        <f t="shared" si="48"/>
        <v>3</v>
      </c>
      <c r="N509" t="str">
        <f t="shared" si="47"/>
        <v>August</v>
      </c>
    </row>
    <row r="510" spans="1:14" x14ac:dyDescent="0.3">
      <c r="A510" s="2" t="s">
        <v>1926</v>
      </c>
      <c r="B510" t="s">
        <v>371</v>
      </c>
      <c r="C510" s="2" t="s">
        <v>35</v>
      </c>
      <c r="D510" s="2" t="s">
        <v>44</v>
      </c>
      <c r="E510" s="2" t="s">
        <v>13</v>
      </c>
      <c r="F510" s="2" t="s">
        <v>65</v>
      </c>
      <c r="G510" s="3">
        <v>310</v>
      </c>
      <c r="H510" s="1" t="s">
        <v>1927</v>
      </c>
      <c r="I510">
        <f t="shared" si="43"/>
        <v>8</v>
      </c>
      <c r="J510" t="str">
        <f t="shared" si="44"/>
        <v>Rakshabandhan</v>
      </c>
      <c r="K510" t="str">
        <f t="shared" si="45"/>
        <v>Promoted</v>
      </c>
      <c r="L510" t="str">
        <f t="shared" si="46"/>
        <v>Known Employee</v>
      </c>
      <c r="M510">
        <f t="shared" si="48"/>
        <v>5</v>
      </c>
      <c r="N510" t="str">
        <f t="shared" si="47"/>
        <v>August</v>
      </c>
    </row>
    <row r="511" spans="1:14" x14ac:dyDescent="0.3">
      <c r="A511" s="2" t="s">
        <v>1319</v>
      </c>
      <c r="B511" t="s">
        <v>700</v>
      </c>
      <c r="C511" s="2" t="s">
        <v>18</v>
      </c>
      <c r="D511" s="2" t="s">
        <v>87</v>
      </c>
      <c r="E511" s="2" t="s">
        <v>13</v>
      </c>
      <c r="F511" s="2" t="s">
        <v>25</v>
      </c>
      <c r="G511" s="3">
        <v>390</v>
      </c>
      <c r="H511" s="1" t="s">
        <v>1320</v>
      </c>
      <c r="I511">
        <f t="shared" si="43"/>
        <v>8</v>
      </c>
      <c r="J511" t="str">
        <f t="shared" si="44"/>
        <v>Rakshabandhan</v>
      </c>
      <c r="K511" t="str">
        <f t="shared" si="45"/>
        <v>Promoted</v>
      </c>
      <c r="L511" t="str">
        <f t="shared" si="46"/>
        <v>Known Employee</v>
      </c>
      <c r="M511">
        <f t="shared" si="48"/>
        <v>3</v>
      </c>
      <c r="N511" t="str">
        <f t="shared" si="47"/>
        <v>August</v>
      </c>
    </row>
    <row r="512" spans="1:14" x14ac:dyDescent="0.3">
      <c r="A512" s="2" t="s">
        <v>1933</v>
      </c>
      <c r="B512" t="s">
        <v>303</v>
      </c>
      <c r="C512" s="2" t="s">
        <v>53</v>
      </c>
      <c r="D512" s="2" t="s">
        <v>104</v>
      </c>
      <c r="E512" s="2" t="s">
        <v>158</v>
      </c>
      <c r="F512" s="2" t="s">
        <v>14</v>
      </c>
      <c r="G512" s="3">
        <v>408.5</v>
      </c>
      <c r="H512" s="1" t="s">
        <v>1320</v>
      </c>
      <c r="I512">
        <f t="shared" si="43"/>
        <v>8</v>
      </c>
      <c r="J512" t="str">
        <f t="shared" si="44"/>
        <v>Rakshabandhan</v>
      </c>
      <c r="K512" t="str">
        <f t="shared" si="45"/>
        <v>Promoted</v>
      </c>
      <c r="L512" t="str">
        <f t="shared" si="46"/>
        <v>Known Employee</v>
      </c>
      <c r="M512">
        <f t="shared" si="48"/>
        <v>7</v>
      </c>
      <c r="N512" t="str">
        <f t="shared" si="47"/>
        <v>August</v>
      </c>
    </row>
    <row r="513" spans="1:14" x14ac:dyDescent="0.3">
      <c r="A513" s="2" t="s">
        <v>1329</v>
      </c>
      <c r="B513" t="s">
        <v>17</v>
      </c>
      <c r="C513" s="2" t="s">
        <v>29</v>
      </c>
      <c r="D513" s="2" t="s">
        <v>30</v>
      </c>
      <c r="E513" s="2" t="s">
        <v>54</v>
      </c>
      <c r="F513" s="2" t="s">
        <v>40</v>
      </c>
      <c r="G513" s="3">
        <v>196.35</v>
      </c>
      <c r="H513" s="1" t="s">
        <v>1328</v>
      </c>
      <c r="I513">
        <f t="shared" si="43"/>
        <v>8</v>
      </c>
      <c r="J513" t="str">
        <f t="shared" si="44"/>
        <v>Rakshabandhan</v>
      </c>
      <c r="K513" t="str">
        <f t="shared" si="45"/>
        <v>Promoted</v>
      </c>
      <c r="L513" t="str">
        <f t="shared" si="46"/>
        <v>Known Employee</v>
      </c>
      <c r="M513">
        <f t="shared" si="48"/>
        <v>4</v>
      </c>
      <c r="N513" t="str">
        <f t="shared" si="47"/>
        <v>August</v>
      </c>
    </row>
    <row r="514" spans="1:14" x14ac:dyDescent="0.3">
      <c r="A514" s="2" t="s">
        <v>1044</v>
      </c>
      <c r="B514" t="s">
        <v>137</v>
      </c>
      <c r="C514" s="2" t="s">
        <v>53</v>
      </c>
      <c r="D514" s="2" t="s">
        <v>83</v>
      </c>
      <c r="E514" s="2" t="s">
        <v>13</v>
      </c>
      <c r="F514" s="2" t="s">
        <v>65</v>
      </c>
      <c r="G514" s="3">
        <v>260</v>
      </c>
      <c r="H514" s="1" t="s">
        <v>1045</v>
      </c>
      <c r="I514">
        <f t="shared" ref="I514:I577" si="49">MONTH(H514)</f>
        <v>8</v>
      </c>
      <c r="J514" t="str">
        <f t="shared" ref="J514:J577" si="50">IF(OR(I514=10,I514=11),"Diwali",IF(I514=9,"Navratri",IF(I514=8,"Rakshabandhan",IF(I514=3,"Holi",IF(I514=1,"Makar Sankranti","Regular")))))</f>
        <v>Rakshabandhan</v>
      </c>
      <c r="K514" t="str">
        <f t="shared" ref="K514:K577" si="51" xml:space="preserve"> IF(E514="No Promotion", "Not Promoted", "Promoted")</f>
        <v>Promoted</v>
      </c>
      <c r="L514" t="str">
        <f t="shared" ref="L514:L577" si="52" xml:space="preserve"> IF(D514="Unknown","Employee","Known Employee")</f>
        <v>Known Employee</v>
      </c>
      <c r="M514">
        <f t="shared" si="48"/>
        <v>7</v>
      </c>
      <c r="N514" t="str">
        <f t="shared" si="47"/>
        <v>August</v>
      </c>
    </row>
    <row r="515" spans="1:14" x14ac:dyDescent="0.3">
      <c r="A515" s="2" t="s">
        <v>1565</v>
      </c>
      <c r="B515" t="s">
        <v>227</v>
      </c>
      <c r="C515" s="2" t="s">
        <v>29</v>
      </c>
      <c r="D515" s="2" t="s">
        <v>168</v>
      </c>
      <c r="E515" s="2" t="s">
        <v>13</v>
      </c>
      <c r="F515" s="2" t="s">
        <v>14</v>
      </c>
      <c r="G515" s="3">
        <v>155</v>
      </c>
      <c r="H515" s="1" t="s">
        <v>1566</v>
      </c>
      <c r="I515">
        <f t="shared" si="49"/>
        <v>9</v>
      </c>
      <c r="J515" t="str">
        <f t="shared" si="50"/>
        <v>Navratri</v>
      </c>
      <c r="K515" t="str">
        <f t="shared" si="51"/>
        <v>Promoted</v>
      </c>
      <c r="L515" t="str">
        <f t="shared" si="52"/>
        <v>Known Employee</v>
      </c>
      <c r="M515">
        <f t="shared" si="48"/>
        <v>8</v>
      </c>
      <c r="N515" t="str">
        <f t="shared" ref="N515:N578" si="53">TEXT(DATE(2000, I515, 1), "mmmm")</f>
        <v>September</v>
      </c>
    </row>
    <row r="516" spans="1:14" x14ac:dyDescent="0.3">
      <c r="A516" s="2" t="s">
        <v>423</v>
      </c>
      <c r="B516" t="s">
        <v>425</v>
      </c>
      <c r="C516" s="2" t="s">
        <v>29</v>
      </c>
      <c r="D516" s="2" t="s">
        <v>200</v>
      </c>
      <c r="E516" s="2" t="s">
        <v>13</v>
      </c>
      <c r="F516" s="2" t="s">
        <v>65</v>
      </c>
      <c r="G516" s="3">
        <v>68</v>
      </c>
      <c r="H516" s="1" t="s">
        <v>424</v>
      </c>
      <c r="I516">
        <f t="shared" si="49"/>
        <v>9</v>
      </c>
      <c r="J516" t="str">
        <f t="shared" si="50"/>
        <v>Navratri</v>
      </c>
      <c r="K516" t="str">
        <f t="shared" si="51"/>
        <v>Promoted</v>
      </c>
      <c r="L516" t="str">
        <f t="shared" si="52"/>
        <v>Known Employee</v>
      </c>
      <c r="M516">
        <f t="shared" si="48"/>
        <v>7</v>
      </c>
      <c r="N516" t="str">
        <f t="shared" si="53"/>
        <v>September</v>
      </c>
    </row>
    <row r="517" spans="1:14" x14ac:dyDescent="0.3">
      <c r="A517" s="2" t="s">
        <v>1764</v>
      </c>
      <c r="B517" t="s">
        <v>233</v>
      </c>
      <c r="C517" s="2" t="s">
        <v>53</v>
      </c>
      <c r="D517" s="2" t="s">
        <v>76</v>
      </c>
      <c r="E517" s="2" t="s">
        <v>13</v>
      </c>
      <c r="F517" s="2" t="s">
        <v>25</v>
      </c>
      <c r="G517" s="3">
        <v>344</v>
      </c>
      <c r="H517" s="1" t="s">
        <v>424</v>
      </c>
      <c r="I517">
        <f t="shared" si="49"/>
        <v>9</v>
      </c>
      <c r="J517" t="str">
        <f t="shared" si="50"/>
        <v>Navratri</v>
      </c>
      <c r="K517" t="str">
        <f t="shared" si="51"/>
        <v>Promoted</v>
      </c>
      <c r="L517" t="str">
        <f t="shared" si="52"/>
        <v>Known Employee</v>
      </c>
      <c r="M517">
        <f t="shared" si="48"/>
        <v>6</v>
      </c>
      <c r="N517" t="str">
        <f t="shared" si="53"/>
        <v>September</v>
      </c>
    </row>
    <row r="518" spans="1:14" x14ac:dyDescent="0.3">
      <c r="A518" s="2" t="s">
        <v>73</v>
      </c>
      <c r="B518" t="s">
        <v>75</v>
      </c>
      <c r="C518" s="2" t="s">
        <v>53</v>
      </c>
      <c r="D518" s="2" t="s">
        <v>76</v>
      </c>
      <c r="E518" s="2" t="s">
        <v>13</v>
      </c>
      <c r="F518" s="2" t="s">
        <v>25</v>
      </c>
      <c r="G518" s="3">
        <v>556</v>
      </c>
      <c r="H518" s="1" t="s">
        <v>74</v>
      </c>
      <c r="I518">
        <f t="shared" si="49"/>
        <v>9</v>
      </c>
      <c r="J518" t="str">
        <f t="shared" si="50"/>
        <v>Navratri</v>
      </c>
      <c r="K518" t="str">
        <f t="shared" si="51"/>
        <v>Promoted</v>
      </c>
      <c r="L518" t="str">
        <f t="shared" si="52"/>
        <v>Known Employee</v>
      </c>
      <c r="M518">
        <f t="shared" si="48"/>
        <v>7</v>
      </c>
      <c r="N518" t="str">
        <f t="shared" si="53"/>
        <v>September</v>
      </c>
    </row>
    <row r="519" spans="1:14" x14ac:dyDescent="0.3">
      <c r="A519" s="2" t="s">
        <v>659</v>
      </c>
      <c r="B519" t="s">
        <v>292</v>
      </c>
      <c r="C519" s="2" t="s">
        <v>53</v>
      </c>
      <c r="D519" s="2" t="s">
        <v>104</v>
      </c>
      <c r="E519" s="2" t="s">
        <v>13</v>
      </c>
      <c r="F519" s="2" t="s">
        <v>14</v>
      </c>
      <c r="G519" s="3">
        <v>174</v>
      </c>
      <c r="H519" s="1" t="s">
        <v>660</v>
      </c>
      <c r="I519">
        <f t="shared" si="49"/>
        <v>9</v>
      </c>
      <c r="J519" t="str">
        <f t="shared" si="50"/>
        <v>Navratri</v>
      </c>
      <c r="K519" t="str">
        <f t="shared" si="51"/>
        <v>Promoted</v>
      </c>
      <c r="L519" t="str">
        <f t="shared" si="52"/>
        <v>Known Employee</v>
      </c>
      <c r="M519">
        <f t="shared" si="48"/>
        <v>5</v>
      </c>
      <c r="N519" t="str">
        <f t="shared" si="53"/>
        <v>September</v>
      </c>
    </row>
    <row r="520" spans="1:14" x14ac:dyDescent="0.3">
      <c r="A520" s="2" t="s">
        <v>1374</v>
      </c>
      <c r="B520" t="s">
        <v>485</v>
      </c>
      <c r="C520" s="2" t="s">
        <v>53</v>
      </c>
      <c r="D520" s="2" t="s">
        <v>1945</v>
      </c>
      <c r="E520" s="2" t="s">
        <v>13</v>
      </c>
      <c r="F520" s="2" t="s">
        <v>1945</v>
      </c>
      <c r="G520" s="3">
        <v>340</v>
      </c>
      <c r="H520" s="1" t="s">
        <v>660</v>
      </c>
      <c r="I520">
        <f t="shared" si="49"/>
        <v>9</v>
      </c>
      <c r="J520" t="str">
        <f t="shared" si="50"/>
        <v>Navratri</v>
      </c>
      <c r="K520" t="str">
        <f t="shared" si="51"/>
        <v>Promoted</v>
      </c>
      <c r="L520" t="str">
        <f t="shared" si="52"/>
        <v>Employee</v>
      </c>
      <c r="M520">
        <f t="shared" si="48"/>
        <v>4</v>
      </c>
      <c r="N520" t="str">
        <f t="shared" si="53"/>
        <v>September</v>
      </c>
    </row>
    <row r="521" spans="1:14" x14ac:dyDescent="0.3">
      <c r="A521" s="2" t="s">
        <v>283</v>
      </c>
      <c r="B521" t="s">
        <v>52</v>
      </c>
      <c r="C521" s="2" t="s">
        <v>29</v>
      </c>
      <c r="D521" s="2" t="s">
        <v>30</v>
      </c>
      <c r="E521" s="2" t="s">
        <v>13</v>
      </c>
      <c r="F521" s="2" t="s">
        <v>40</v>
      </c>
      <c r="G521" s="3">
        <v>444</v>
      </c>
      <c r="H521" s="1" t="s">
        <v>284</v>
      </c>
      <c r="I521">
        <f t="shared" si="49"/>
        <v>9</v>
      </c>
      <c r="J521" t="str">
        <f t="shared" si="50"/>
        <v>Navratri</v>
      </c>
      <c r="K521" t="str">
        <f t="shared" si="51"/>
        <v>Promoted</v>
      </c>
      <c r="L521" t="str">
        <f t="shared" si="52"/>
        <v>Known Employee</v>
      </c>
      <c r="M521">
        <f t="shared" si="48"/>
        <v>4</v>
      </c>
      <c r="N521" t="str">
        <f t="shared" si="53"/>
        <v>September</v>
      </c>
    </row>
    <row r="522" spans="1:14" x14ac:dyDescent="0.3">
      <c r="A522" s="2" t="s">
        <v>1782</v>
      </c>
      <c r="B522" t="s">
        <v>671</v>
      </c>
      <c r="C522" s="2" t="s">
        <v>35</v>
      </c>
      <c r="D522" s="2" t="s">
        <v>340</v>
      </c>
      <c r="E522" s="2" t="s">
        <v>13</v>
      </c>
      <c r="F522" s="2" t="s">
        <v>14</v>
      </c>
      <c r="G522" s="3">
        <v>565</v>
      </c>
      <c r="H522" s="1" t="s">
        <v>1783</v>
      </c>
      <c r="I522">
        <f t="shared" si="49"/>
        <v>9</v>
      </c>
      <c r="J522" t="str">
        <f t="shared" si="50"/>
        <v>Navratri</v>
      </c>
      <c r="K522" t="str">
        <f t="shared" si="51"/>
        <v>Promoted</v>
      </c>
      <c r="L522" t="str">
        <f t="shared" si="52"/>
        <v>Known Employee</v>
      </c>
      <c r="M522">
        <f t="shared" ref="M522:M585" si="54">COUNTIF($B$1:$B$805, B522)</f>
        <v>6</v>
      </c>
      <c r="N522" t="str">
        <f t="shared" si="53"/>
        <v>September</v>
      </c>
    </row>
    <row r="523" spans="1:14" x14ac:dyDescent="0.3">
      <c r="A523" s="2" t="s">
        <v>279</v>
      </c>
      <c r="B523" t="s">
        <v>22</v>
      </c>
      <c r="C523" s="2" t="s">
        <v>18</v>
      </c>
      <c r="D523" s="2" t="s">
        <v>87</v>
      </c>
      <c r="E523" s="2" t="s">
        <v>13</v>
      </c>
      <c r="F523" s="2" t="s">
        <v>65</v>
      </c>
      <c r="G523" s="3">
        <v>395</v>
      </c>
      <c r="H523" s="1" t="s">
        <v>280</v>
      </c>
      <c r="I523">
        <f t="shared" si="49"/>
        <v>9</v>
      </c>
      <c r="J523" t="str">
        <f t="shared" si="50"/>
        <v>Navratri</v>
      </c>
      <c r="K523" t="str">
        <f t="shared" si="51"/>
        <v>Promoted</v>
      </c>
      <c r="L523" t="str">
        <f t="shared" si="52"/>
        <v>Known Employee</v>
      </c>
      <c r="M523">
        <f t="shared" si="54"/>
        <v>6</v>
      </c>
      <c r="N523" t="str">
        <f t="shared" si="53"/>
        <v>September</v>
      </c>
    </row>
    <row r="524" spans="1:14" x14ac:dyDescent="0.3">
      <c r="A524" s="2" t="s">
        <v>1659</v>
      </c>
      <c r="B524" t="s">
        <v>224</v>
      </c>
      <c r="C524" s="2" t="s">
        <v>53</v>
      </c>
      <c r="D524" s="2" t="s">
        <v>83</v>
      </c>
      <c r="E524" s="2" t="s">
        <v>13</v>
      </c>
      <c r="F524" s="2" t="s">
        <v>65</v>
      </c>
      <c r="G524" s="3">
        <v>425</v>
      </c>
      <c r="H524" s="1" t="s">
        <v>1660</v>
      </c>
      <c r="I524">
        <f t="shared" si="49"/>
        <v>9</v>
      </c>
      <c r="J524" t="str">
        <f t="shared" si="50"/>
        <v>Navratri</v>
      </c>
      <c r="K524" t="str">
        <f t="shared" si="51"/>
        <v>Promoted</v>
      </c>
      <c r="L524" t="str">
        <f t="shared" si="52"/>
        <v>Known Employee</v>
      </c>
      <c r="M524">
        <f t="shared" si="54"/>
        <v>4</v>
      </c>
      <c r="N524" t="str">
        <f t="shared" si="53"/>
        <v>September</v>
      </c>
    </row>
    <row r="525" spans="1:14" x14ac:dyDescent="0.3">
      <c r="A525" s="2" t="s">
        <v>1414</v>
      </c>
      <c r="B525" t="s">
        <v>93</v>
      </c>
      <c r="C525" s="2" t="s">
        <v>35</v>
      </c>
      <c r="D525" s="2" t="s">
        <v>72</v>
      </c>
      <c r="E525" s="2" t="s">
        <v>13</v>
      </c>
      <c r="F525" s="2" t="s">
        <v>40</v>
      </c>
      <c r="G525" s="3">
        <v>614</v>
      </c>
      <c r="H525" s="1" t="s">
        <v>1415</v>
      </c>
      <c r="I525">
        <f t="shared" si="49"/>
        <v>9</v>
      </c>
      <c r="J525" t="str">
        <f t="shared" si="50"/>
        <v>Navratri</v>
      </c>
      <c r="K525" t="str">
        <f t="shared" si="51"/>
        <v>Promoted</v>
      </c>
      <c r="L525" t="str">
        <f t="shared" si="52"/>
        <v>Known Employee</v>
      </c>
      <c r="M525">
        <f t="shared" si="54"/>
        <v>5</v>
      </c>
      <c r="N525" t="str">
        <f t="shared" si="53"/>
        <v>September</v>
      </c>
    </row>
    <row r="526" spans="1:14" x14ac:dyDescent="0.3">
      <c r="A526" s="2" t="s">
        <v>1828</v>
      </c>
      <c r="B526" t="s">
        <v>1185</v>
      </c>
      <c r="C526" s="2" t="s">
        <v>11</v>
      </c>
      <c r="D526" s="2" t="s">
        <v>19</v>
      </c>
      <c r="E526" s="2" t="s">
        <v>13</v>
      </c>
      <c r="F526" s="2" t="s">
        <v>40</v>
      </c>
      <c r="G526" s="3">
        <v>160</v>
      </c>
      <c r="H526" s="1" t="s">
        <v>1829</v>
      </c>
      <c r="I526">
        <f t="shared" si="49"/>
        <v>9</v>
      </c>
      <c r="J526" t="str">
        <f t="shared" si="50"/>
        <v>Navratri</v>
      </c>
      <c r="K526" t="str">
        <f t="shared" si="51"/>
        <v>Promoted</v>
      </c>
      <c r="L526" t="str">
        <f t="shared" si="52"/>
        <v>Known Employee</v>
      </c>
      <c r="M526">
        <f t="shared" si="54"/>
        <v>4</v>
      </c>
      <c r="N526" t="str">
        <f t="shared" si="53"/>
        <v>September</v>
      </c>
    </row>
    <row r="527" spans="1:14" x14ac:dyDescent="0.3">
      <c r="A527" s="2" t="s">
        <v>1653</v>
      </c>
      <c r="B527" t="s">
        <v>1654</v>
      </c>
      <c r="C527" s="2" t="s">
        <v>29</v>
      </c>
      <c r="D527" s="2" t="s">
        <v>49</v>
      </c>
      <c r="E527" s="2" t="s">
        <v>13</v>
      </c>
      <c r="F527" s="2" t="s">
        <v>40</v>
      </c>
      <c r="G527" s="3">
        <v>279</v>
      </c>
      <c r="H527" s="1" t="s">
        <v>533</v>
      </c>
      <c r="I527">
        <f t="shared" si="49"/>
        <v>9</v>
      </c>
      <c r="J527" t="str">
        <f t="shared" si="50"/>
        <v>Navratri</v>
      </c>
      <c r="K527" t="str">
        <f t="shared" si="51"/>
        <v>Promoted</v>
      </c>
      <c r="L527" t="str">
        <f t="shared" si="52"/>
        <v>Known Employee</v>
      </c>
      <c r="M527">
        <f t="shared" si="54"/>
        <v>1</v>
      </c>
      <c r="N527" t="str">
        <f t="shared" si="53"/>
        <v>September</v>
      </c>
    </row>
    <row r="528" spans="1:14" x14ac:dyDescent="0.3">
      <c r="A528" s="2" t="s">
        <v>532</v>
      </c>
      <c r="B528" t="s">
        <v>534</v>
      </c>
      <c r="C528" s="2" t="s">
        <v>29</v>
      </c>
      <c r="D528" s="2" t="s">
        <v>200</v>
      </c>
      <c r="E528" s="2" t="s">
        <v>24</v>
      </c>
      <c r="F528" s="2" t="s">
        <v>14</v>
      </c>
      <c r="G528" s="3">
        <v>320.39999999999998</v>
      </c>
      <c r="H528" s="1" t="s">
        <v>533</v>
      </c>
      <c r="I528">
        <f t="shared" si="49"/>
        <v>9</v>
      </c>
      <c r="J528" t="str">
        <f t="shared" si="50"/>
        <v>Navratri</v>
      </c>
      <c r="K528" t="str">
        <f t="shared" si="51"/>
        <v>Promoted</v>
      </c>
      <c r="L528" t="str">
        <f t="shared" si="52"/>
        <v>Known Employee</v>
      </c>
      <c r="M528">
        <f t="shared" si="54"/>
        <v>5</v>
      </c>
      <c r="N528" t="str">
        <f t="shared" si="53"/>
        <v>September</v>
      </c>
    </row>
    <row r="529" spans="1:14" x14ac:dyDescent="0.3">
      <c r="A529" s="2" t="s">
        <v>965</v>
      </c>
      <c r="B529" t="s">
        <v>93</v>
      </c>
      <c r="C529" s="2" t="s">
        <v>35</v>
      </c>
      <c r="D529" s="2" t="s">
        <v>140</v>
      </c>
      <c r="E529" s="2" t="s">
        <v>13</v>
      </c>
      <c r="F529" s="2" t="s">
        <v>40</v>
      </c>
      <c r="G529" s="3">
        <v>420</v>
      </c>
      <c r="H529" s="1" t="s">
        <v>533</v>
      </c>
      <c r="I529">
        <f t="shared" si="49"/>
        <v>9</v>
      </c>
      <c r="J529" t="str">
        <f t="shared" si="50"/>
        <v>Navratri</v>
      </c>
      <c r="K529" t="str">
        <f t="shared" si="51"/>
        <v>Promoted</v>
      </c>
      <c r="L529" t="str">
        <f t="shared" si="52"/>
        <v>Known Employee</v>
      </c>
      <c r="M529">
        <f t="shared" si="54"/>
        <v>5</v>
      </c>
      <c r="N529" t="str">
        <f t="shared" si="53"/>
        <v>September</v>
      </c>
    </row>
    <row r="530" spans="1:14" x14ac:dyDescent="0.3">
      <c r="A530" s="2" t="s">
        <v>1177</v>
      </c>
      <c r="B530" t="s">
        <v>485</v>
      </c>
      <c r="C530" s="2" t="s">
        <v>29</v>
      </c>
      <c r="D530" s="2" t="s">
        <v>30</v>
      </c>
      <c r="E530" s="2" t="s">
        <v>13</v>
      </c>
      <c r="F530" s="2" t="s">
        <v>25</v>
      </c>
      <c r="G530" s="3">
        <v>150</v>
      </c>
      <c r="H530" s="1" t="s">
        <v>533</v>
      </c>
      <c r="I530">
        <f t="shared" si="49"/>
        <v>9</v>
      </c>
      <c r="J530" t="str">
        <f t="shared" si="50"/>
        <v>Navratri</v>
      </c>
      <c r="K530" t="str">
        <f t="shared" si="51"/>
        <v>Promoted</v>
      </c>
      <c r="L530" t="str">
        <f t="shared" si="52"/>
        <v>Known Employee</v>
      </c>
      <c r="M530">
        <f t="shared" si="54"/>
        <v>4</v>
      </c>
      <c r="N530" t="str">
        <f t="shared" si="53"/>
        <v>September</v>
      </c>
    </row>
    <row r="531" spans="1:14" x14ac:dyDescent="0.3">
      <c r="A531" s="2" t="s">
        <v>608</v>
      </c>
      <c r="B531" t="s">
        <v>610</v>
      </c>
      <c r="C531" s="2" t="s">
        <v>157</v>
      </c>
      <c r="D531" s="2" t="s">
        <v>76</v>
      </c>
      <c r="E531" s="2" t="s">
        <v>13</v>
      </c>
      <c r="F531" s="2" t="s">
        <v>14</v>
      </c>
      <c r="G531" s="3">
        <v>295</v>
      </c>
      <c r="H531" s="1" t="s">
        <v>609</v>
      </c>
      <c r="I531">
        <f t="shared" si="49"/>
        <v>9</v>
      </c>
      <c r="J531" t="str">
        <f t="shared" si="50"/>
        <v>Navratri</v>
      </c>
      <c r="K531" t="str">
        <f t="shared" si="51"/>
        <v>Promoted</v>
      </c>
      <c r="L531" t="str">
        <f t="shared" si="52"/>
        <v>Known Employee</v>
      </c>
      <c r="M531">
        <f t="shared" si="54"/>
        <v>7</v>
      </c>
      <c r="N531" t="str">
        <f t="shared" si="53"/>
        <v>September</v>
      </c>
    </row>
    <row r="532" spans="1:14" x14ac:dyDescent="0.3">
      <c r="A532" s="2" t="s">
        <v>1422</v>
      </c>
      <c r="B532" t="s">
        <v>1105</v>
      </c>
      <c r="C532" s="2" t="s">
        <v>29</v>
      </c>
      <c r="D532" s="2" t="s">
        <v>200</v>
      </c>
      <c r="E532" s="2" t="s">
        <v>13</v>
      </c>
      <c r="F532" s="2" t="s">
        <v>14</v>
      </c>
      <c r="G532" s="3">
        <v>314</v>
      </c>
      <c r="H532" s="1" t="s">
        <v>484</v>
      </c>
      <c r="I532">
        <f t="shared" si="49"/>
        <v>9</v>
      </c>
      <c r="J532" t="str">
        <f t="shared" si="50"/>
        <v>Navratri</v>
      </c>
      <c r="K532" t="str">
        <f t="shared" si="51"/>
        <v>Promoted</v>
      </c>
      <c r="L532" t="str">
        <f t="shared" si="52"/>
        <v>Known Employee</v>
      </c>
      <c r="M532">
        <f t="shared" si="54"/>
        <v>2</v>
      </c>
      <c r="N532" t="str">
        <f t="shared" si="53"/>
        <v>September</v>
      </c>
    </row>
    <row r="533" spans="1:14" x14ac:dyDescent="0.3">
      <c r="A533" s="2" t="s">
        <v>1861</v>
      </c>
      <c r="B533" t="s">
        <v>258</v>
      </c>
      <c r="C533" s="2" t="s">
        <v>35</v>
      </c>
      <c r="D533" s="2" t="s">
        <v>140</v>
      </c>
      <c r="E533" s="2" t="s">
        <v>13</v>
      </c>
      <c r="F533" s="2" t="s">
        <v>25</v>
      </c>
      <c r="G533" s="3">
        <v>569</v>
      </c>
      <c r="H533" s="1" t="s">
        <v>484</v>
      </c>
      <c r="I533">
        <f t="shared" si="49"/>
        <v>9</v>
      </c>
      <c r="J533" t="str">
        <f t="shared" si="50"/>
        <v>Navratri</v>
      </c>
      <c r="K533" t="str">
        <f t="shared" si="51"/>
        <v>Promoted</v>
      </c>
      <c r="L533" t="str">
        <f t="shared" si="52"/>
        <v>Known Employee</v>
      </c>
      <c r="M533">
        <f t="shared" si="54"/>
        <v>8</v>
      </c>
      <c r="N533" t="str">
        <f t="shared" si="53"/>
        <v>September</v>
      </c>
    </row>
    <row r="534" spans="1:14" x14ac:dyDescent="0.3">
      <c r="A534" s="2" t="s">
        <v>602</v>
      </c>
      <c r="B534" t="s">
        <v>167</v>
      </c>
      <c r="C534" s="2" t="s">
        <v>53</v>
      </c>
      <c r="D534" s="2" t="s">
        <v>1945</v>
      </c>
      <c r="E534" s="2" t="s">
        <v>13</v>
      </c>
      <c r="F534" s="2" t="s">
        <v>40</v>
      </c>
      <c r="G534" s="3">
        <v>375</v>
      </c>
      <c r="H534" s="1" t="s">
        <v>484</v>
      </c>
      <c r="I534">
        <f t="shared" si="49"/>
        <v>9</v>
      </c>
      <c r="J534" t="str">
        <f t="shared" si="50"/>
        <v>Navratri</v>
      </c>
      <c r="K534" t="str">
        <f t="shared" si="51"/>
        <v>Promoted</v>
      </c>
      <c r="L534" t="str">
        <f t="shared" si="52"/>
        <v>Employee</v>
      </c>
      <c r="M534">
        <f t="shared" si="54"/>
        <v>3</v>
      </c>
      <c r="N534" t="str">
        <f t="shared" si="53"/>
        <v>September</v>
      </c>
    </row>
    <row r="535" spans="1:14" x14ac:dyDescent="0.3">
      <c r="A535" s="2" t="s">
        <v>483</v>
      </c>
      <c r="B535" t="s">
        <v>485</v>
      </c>
      <c r="C535" s="2" t="s">
        <v>29</v>
      </c>
      <c r="D535" s="2" t="s">
        <v>30</v>
      </c>
      <c r="E535" s="2" t="s">
        <v>13</v>
      </c>
      <c r="F535" s="2" t="s">
        <v>40</v>
      </c>
      <c r="G535" s="3">
        <v>95</v>
      </c>
      <c r="H535" s="1" t="s">
        <v>484</v>
      </c>
      <c r="I535">
        <f t="shared" si="49"/>
        <v>9</v>
      </c>
      <c r="J535" t="str">
        <f t="shared" si="50"/>
        <v>Navratri</v>
      </c>
      <c r="K535" t="str">
        <f t="shared" si="51"/>
        <v>Promoted</v>
      </c>
      <c r="L535" t="str">
        <f t="shared" si="52"/>
        <v>Known Employee</v>
      </c>
      <c r="M535">
        <f t="shared" si="54"/>
        <v>4</v>
      </c>
      <c r="N535" t="str">
        <f t="shared" si="53"/>
        <v>September</v>
      </c>
    </row>
    <row r="536" spans="1:14" x14ac:dyDescent="0.3">
      <c r="A536" s="2" t="s">
        <v>1407</v>
      </c>
      <c r="B536" t="s">
        <v>1242</v>
      </c>
      <c r="C536" s="2" t="s">
        <v>53</v>
      </c>
      <c r="D536" s="2" t="s">
        <v>138</v>
      </c>
      <c r="E536" s="2" t="s">
        <v>13</v>
      </c>
      <c r="F536" s="2" t="s">
        <v>144</v>
      </c>
      <c r="G536" s="3">
        <v>210</v>
      </c>
      <c r="H536" s="1" t="s">
        <v>1408</v>
      </c>
      <c r="I536">
        <f t="shared" si="49"/>
        <v>9</v>
      </c>
      <c r="J536" t="str">
        <f t="shared" si="50"/>
        <v>Navratri</v>
      </c>
      <c r="K536" t="str">
        <f t="shared" si="51"/>
        <v>Promoted</v>
      </c>
      <c r="L536" t="str">
        <f t="shared" si="52"/>
        <v>Known Employee</v>
      </c>
      <c r="M536">
        <f t="shared" si="54"/>
        <v>2</v>
      </c>
      <c r="N536" t="str">
        <f t="shared" si="53"/>
        <v>September</v>
      </c>
    </row>
    <row r="537" spans="1:14" x14ac:dyDescent="0.3">
      <c r="A537" s="2" t="s">
        <v>1663</v>
      </c>
      <c r="B537" t="s">
        <v>543</v>
      </c>
      <c r="C537" s="2" t="s">
        <v>35</v>
      </c>
      <c r="D537" s="2" t="s">
        <v>340</v>
      </c>
      <c r="E537" s="2" t="s">
        <v>24</v>
      </c>
      <c r="F537" s="2" t="s">
        <v>40</v>
      </c>
      <c r="G537" s="3">
        <v>387</v>
      </c>
      <c r="H537" s="1" t="s">
        <v>185</v>
      </c>
      <c r="I537">
        <f t="shared" si="49"/>
        <v>9</v>
      </c>
      <c r="J537" t="str">
        <f t="shared" si="50"/>
        <v>Navratri</v>
      </c>
      <c r="K537" t="str">
        <f t="shared" si="51"/>
        <v>Promoted</v>
      </c>
      <c r="L537" t="str">
        <f t="shared" si="52"/>
        <v>Known Employee</v>
      </c>
      <c r="M537">
        <f t="shared" si="54"/>
        <v>5</v>
      </c>
      <c r="N537" t="str">
        <f t="shared" si="53"/>
        <v>September</v>
      </c>
    </row>
    <row r="538" spans="1:14" x14ac:dyDescent="0.3">
      <c r="A538" s="2" t="s">
        <v>1858</v>
      </c>
      <c r="B538" t="s">
        <v>131</v>
      </c>
      <c r="C538" s="2" t="s">
        <v>29</v>
      </c>
      <c r="D538" s="2" t="s">
        <v>168</v>
      </c>
      <c r="E538" s="2" t="s">
        <v>158</v>
      </c>
      <c r="F538" s="2" t="s">
        <v>14</v>
      </c>
      <c r="G538" s="3">
        <v>199.5</v>
      </c>
      <c r="H538" s="1" t="s">
        <v>1859</v>
      </c>
      <c r="I538">
        <f t="shared" si="49"/>
        <v>9</v>
      </c>
      <c r="J538" t="str">
        <f t="shared" si="50"/>
        <v>Navratri</v>
      </c>
      <c r="K538" t="str">
        <f t="shared" si="51"/>
        <v>Promoted</v>
      </c>
      <c r="L538" t="str">
        <f t="shared" si="52"/>
        <v>Known Employee</v>
      </c>
      <c r="M538">
        <f t="shared" si="54"/>
        <v>4</v>
      </c>
      <c r="N538" t="str">
        <f t="shared" si="53"/>
        <v>September</v>
      </c>
    </row>
    <row r="539" spans="1:14" x14ac:dyDescent="0.3">
      <c r="A539" s="2" t="s">
        <v>816</v>
      </c>
      <c r="B539" t="s">
        <v>303</v>
      </c>
      <c r="C539" s="2" t="s">
        <v>29</v>
      </c>
      <c r="D539" s="2" t="s">
        <v>123</v>
      </c>
      <c r="E539" s="2" t="s">
        <v>13</v>
      </c>
      <c r="F539" s="2" t="s">
        <v>65</v>
      </c>
      <c r="G539" s="3">
        <v>285</v>
      </c>
      <c r="H539" s="1" t="s">
        <v>817</v>
      </c>
      <c r="I539">
        <f t="shared" si="49"/>
        <v>9</v>
      </c>
      <c r="J539" t="str">
        <f t="shared" si="50"/>
        <v>Navratri</v>
      </c>
      <c r="K539" t="str">
        <f t="shared" si="51"/>
        <v>Promoted</v>
      </c>
      <c r="L539" t="str">
        <f t="shared" si="52"/>
        <v>Known Employee</v>
      </c>
      <c r="M539">
        <f t="shared" si="54"/>
        <v>7</v>
      </c>
      <c r="N539" t="str">
        <f t="shared" si="53"/>
        <v>September</v>
      </c>
    </row>
    <row r="540" spans="1:14" x14ac:dyDescent="0.3">
      <c r="A540" s="2" t="s">
        <v>1268</v>
      </c>
      <c r="B540" t="s">
        <v>131</v>
      </c>
      <c r="C540" s="2" t="s">
        <v>18</v>
      </c>
      <c r="D540" s="2" t="s">
        <v>19</v>
      </c>
      <c r="E540" s="2" t="s">
        <v>158</v>
      </c>
      <c r="F540" s="2" t="s">
        <v>25</v>
      </c>
      <c r="G540" s="3">
        <v>61.75</v>
      </c>
      <c r="H540" s="1" t="s">
        <v>1269</v>
      </c>
      <c r="I540">
        <f t="shared" si="49"/>
        <v>9</v>
      </c>
      <c r="J540" t="str">
        <f t="shared" si="50"/>
        <v>Navratri</v>
      </c>
      <c r="K540" t="str">
        <f t="shared" si="51"/>
        <v>Promoted</v>
      </c>
      <c r="L540" t="str">
        <f t="shared" si="52"/>
        <v>Known Employee</v>
      </c>
      <c r="M540">
        <f t="shared" si="54"/>
        <v>4</v>
      </c>
      <c r="N540" t="str">
        <f t="shared" si="53"/>
        <v>September</v>
      </c>
    </row>
    <row r="541" spans="1:14" x14ac:dyDescent="0.3">
      <c r="A541" s="2" t="s">
        <v>369</v>
      </c>
      <c r="B541" t="s">
        <v>371</v>
      </c>
      <c r="C541" s="2" t="s">
        <v>53</v>
      </c>
      <c r="D541" s="2" t="s">
        <v>76</v>
      </c>
      <c r="E541" s="2" t="s">
        <v>13</v>
      </c>
      <c r="F541" s="2" t="s">
        <v>65</v>
      </c>
      <c r="G541" s="3">
        <v>333</v>
      </c>
      <c r="H541" s="1" t="s">
        <v>370</v>
      </c>
      <c r="I541">
        <f t="shared" si="49"/>
        <v>9</v>
      </c>
      <c r="J541" t="str">
        <f t="shared" si="50"/>
        <v>Navratri</v>
      </c>
      <c r="K541" t="str">
        <f t="shared" si="51"/>
        <v>Promoted</v>
      </c>
      <c r="L541" t="str">
        <f t="shared" si="52"/>
        <v>Known Employee</v>
      </c>
      <c r="M541">
        <f t="shared" si="54"/>
        <v>5</v>
      </c>
      <c r="N541" t="str">
        <f t="shared" si="53"/>
        <v>September</v>
      </c>
    </row>
    <row r="542" spans="1:14" x14ac:dyDescent="0.3">
      <c r="A542" s="2" t="s">
        <v>676</v>
      </c>
      <c r="B542" t="s">
        <v>325</v>
      </c>
      <c r="C542" s="2" t="s">
        <v>29</v>
      </c>
      <c r="D542" s="2" t="s">
        <v>200</v>
      </c>
      <c r="E542" s="2" t="s">
        <v>13</v>
      </c>
      <c r="F542" s="2" t="s">
        <v>14</v>
      </c>
      <c r="G542" s="3">
        <v>386</v>
      </c>
      <c r="H542" s="1" t="s">
        <v>677</v>
      </c>
      <c r="I542">
        <f t="shared" si="49"/>
        <v>10</v>
      </c>
      <c r="J542" t="str">
        <f t="shared" si="50"/>
        <v>Diwali</v>
      </c>
      <c r="K542" t="str">
        <f t="shared" si="51"/>
        <v>Promoted</v>
      </c>
      <c r="L542" t="str">
        <f t="shared" si="52"/>
        <v>Known Employee</v>
      </c>
      <c r="M542">
        <f t="shared" si="54"/>
        <v>4</v>
      </c>
      <c r="N542" t="str">
        <f t="shared" si="53"/>
        <v>October</v>
      </c>
    </row>
    <row r="543" spans="1:14" x14ac:dyDescent="0.3">
      <c r="A543" s="2" t="s">
        <v>761</v>
      </c>
      <c r="B543" t="s">
        <v>400</v>
      </c>
      <c r="C543" s="2" t="s">
        <v>53</v>
      </c>
      <c r="D543" s="2" t="s">
        <v>118</v>
      </c>
      <c r="E543" s="2" t="s">
        <v>13</v>
      </c>
      <c r="F543" s="2" t="s">
        <v>1945</v>
      </c>
      <c r="G543" s="3">
        <v>410</v>
      </c>
      <c r="H543" s="1" t="s">
        <v>677</v>
      </c>
      <c r="I543">
        <f t="shared" si="49"/>
        <v>10</v>
      </c>
      <c r="J543" t="str">
        <f t="shared" si="50"/>
        <v>Diwali</v>
      </c>
      <c r="K543" t="str">
        <f t="shared" si="51"/>
        <v>Promoted</v>
      </c>
      <c r="L543" t="str">
        <f t="shared" si="52"/>
        <v>Known Employee</v>
      </c>
      <c r="M543">
        <f t="shared" si="54"/>
        <v>5</v>
      </c>
      <c r="N543" t="str">
        <f t="shared" si="53"/>
        <v>October</v>
      </c>
    </row>
    <row r="544" spans="1:14" x14ac:dyDescent="0.3">
      <c r="A544" s="2" t="s">
        <v>701</v>
      </c>
      <c r="B544" t="s">
        <v>95</v>
      </c>
      <c r="C544" s="2" t="s">
        <v>53</v>
      </c>
      <c r="D544" s="2" t="s">
        <v>104</v>
      </c>
      <c r="E544" s="2" t="s">
        <v>13</v>
      </c>
      <c r="F544" s="2" t="s">
        <v>268</v>
      </c>
      <c r="G544" s="3">
        <v>494</v>
      </c>
      <c r="H544" s="1" t="s">
        <v>677</v>
      </c>
      <c r="I544">
        <f t="shared" si="49"/>
        <v>10</v>
      </c>
      <c r="J544" t="str">
        <f t="shared" si="50"/>
        <v>Diwali</v>
      </c>
      <c r="K544" t="str">
        <f t="shared" si="51"/>
        <v>Promoted</v>
      </c>
      <c r="L544" t="str">
        <f t="shared" si="52"/>
        <v>Known Employee</v>
      </c>
      <c r="M544">
        <f t="shared" si="54"/>
        <v>1</v>
      </c>
      <c r="N544" t="str">
        <f t="shared" si="53"/>
        <v>October</v>
      </c>
    </row>
    <row r="545" spans="1:14" x14ac:dyDescent="0.3">
      <c r="A545" s="2" t="s">
        <v>1871</v>
      </c>
      <c r="B545" t="s">
        <v>411</v>
      </c>
      <c r="C545" s="2" t="s">
        <v>35</v>
      </c>
      <c r="D545" s="2" t="s">
        <v>140</v>
      </c>
      <c r="E545" s="2" t="s">
        <v>13</v>
      </c>
      <c r="F545" s="2" t="s">
        <v>40</v>
      </c>
      <c r="G545" s="3">
        <v>295</v>
      </c>
      <c r="H545" s="1" t="s">
        <v>1872</v>
      </c>
      <c r="I545">
        <f t="shared" si="49"/>
        <v>10</v>
      </c>
      <c r="J545" t="str">
        <f t="shared" si="50"/>
        <v>Diwali</v>
      </c>
      <c r="K545" t="str">
        <f t="shared" si="51"/>
        <v>Promoted</v>
      </c>
      <c r="L545" t="str">
        <f t="shared" si="52"/>
        <v>Known Employee</v>
      </c>
      <c r="M545">
        <f t="shared" si="54"/>
        <v>5</v>
      </c>
      <c r="N545" t="str">
        <f t="shared" si="53"/>
        <v>October</v>
      </c>
    </row>
    <row r="546" spans="1:14" x14ac:dyDescent="0.3">
      <c r="A546" s="2" t="s">
        <v>579</v>
      </c>
      <c r="B546" t="s">
        <v>210</v>
      </c>
      <c r="C546" s="2" t="s">
        <v>18</v>
      </c>
      <c r="D546" s="2" t="s">
        <v>19</v>
      </c>
      <c r="E546" s="2" t="s">
        <v>13</v>
      </c>
      <c r="F546" s="2" t="s">
        <v>25</v>
      </c>
      <c r="G546" s="3">
        <v>655</v>
      </c>
      <c r="H546" s="1" t="s">
        <v>580</v>
      </c>
      <c r="I546">
        <f t="shared" si="49"/>
        <v>10</v>
      </c>
      <c r="J546" t="str">
        <f t="shared" si="50"/>
        <v>Diwali</v>
      </c>
      <c r="K546" t="str">
        <f t="shared" si="51"/>
        <v>Promoted</v>
      </c>
      <c r="L546" t="str">
        <f t="shared" si="52"/>
        <v>Known Employee</v>
      </c>
      <c r="M546">
        <f t="shared" si="54"/>
        <v>3</v>
      </c>
      <c r="N546" t="str">
        <f t="shared" si="53"/>
        <v>October</v>
      </c>
    </row>
    <row r="547" spans="1:14" x14ac:dyDescent="0.3">
      <c r="A547" s="2" t="s">
        <v>1754</v>
      </c>
      <c r="B547" t="s">
        <v>82</v>
      </c>
      <c r="C547" s="2" t="s">
        <v>35</v>
      </c>
      <c r="D547" s="2" t="s">
        <v>72</v>
      </c>
      <c r="E547" s="2" t="s">
        <v>24</v>
      </c>
      <c r="F547" s="2" t="s">
        <v>65</v>
      </c>
      <c r="G547" s="3">
        <v>104.4</v>
      </c>
      <c r="H547" s="1" t="s">
        <v>1755</v>
      </c>
      <c r="I547">
        <f t="shared" si="49"/>
        <v>10</v>
      </c>
      <c r="J547" t="str">
        <f t="shared" si="50"/>
        <v>Diwali</v>
      </c>
      <c r="K547" t="str">
        <f t="shared" si="51"/>
        <v>Promoted</v>
      </c>
      <c r="L547" t="str">
        <f t="shared" si="52"/>
        <v>Known Employee</v>
      </c>
      <c r="M547">
        <f t="shared" si="54"/>
        <v>5</v>
      </c>
      <c r="N547" t="str">
        <f t="shared" si="53"/>
        <v>October</v>
      </c>
    </row>
    <row r="548" spans="1:14" x14ac:dyDescent="0.3">
      <c r="A548" s="2" t="s">
        <v>69</v>
      </c>
      <c r="B548" t="s">
        <v>71</v>
      </c>
      <c r="C548" s="2" t="s">
        <v>35</v>
      </c>
      <c r="D548" s="2" t="s">
        <v>72</v>
      </c>
      <c r="E548" s="2" t="s">
        <v>54</v>
      </c>
      <c r="F548" s="2" t="s">
        <v>40</v>
      </c>
      <c r="G548" s="3">
        <v>153</v>
      </c>
      <c r="H548" s="1" t="s">
        <v>70</v>
      </c>
      <c r="I548">
        <f t="shared" si="49"/>
        <v>10</v>
      </c>
      <c r="J548" t="str">
        <f t="shared" si="50"/>
        <v>Diwali</v>
      </c>
      <c r="K548" t="str">
        <f t="shared" si="51"/>
        <v>Promoted</v>
      </c>
      <c r="L548" t="str">
        <f t="shared" si="52"/>
        <v>Known Employee</v>
      </c>
      <c r="M548">
        <f t="shared" si="54"/>
        <v>4</v>
      </c>
      <c r="N548" t="str">
        <f t="shared" si="53"/>
        <v>October</v>
      </c>
    </row>
    <row r="549" spans="1:14" x14ac:dyDescent="0.3">
      <c r="A549" s="2" t="s">
        <v>986</v>
      </c>
      <c r="B549" t="s">
        <v>276</v>
      </c>
      <c r="C549" s="2" t="s">
        <v>18</v>
      </c>
      <c r="D549" s="2" t="s">
        <v>87</v>
      </c>
      <c r="E549" s="2" t="s">
        <v>13</v>
      </c>
      <c r="F549" s="2" t="s">
        <v>65</v>
      </c>
      <c r="G549" s="3">
        <v>496</v>
      </c>
      <c r="H549" s="1" t="s">
        <v>70</v>
      </c>
      <c r="I549">
        <f t="shared" si="49"/>
        <v>10</v>
      </c>
      <c r="J549" t="str">
        <f t="shared" si="50"/>
        <v>Diwali</v>
      </c>
      <c r="K549" t="str">
        <f t="shared" si="51"/>
        <v>Promoted</v>
      </c>
      <c r="L549" t="str">
        <f t="shared" si="52"/>
        <v>Known Employee</v>
      </c>
      <c r="M549">
        <f t="shared" si="54"/>
        <v>6</v>
      </c>
      <c r="N549" t="str">
        <f t="shared" si="53"/>
        <v>October</v>
      </c>
    </row>
    <row r="550" spans="1:14" x14ac:dyDescent="0.3">
      <c r="A550" s="2" t="s">
        <v>1336</v>
      </c>
      <c r="B550" t="s">
        <v>276</v>
      </c>
      <c r="C550" s="2" t="s">
        <v>29</v>
      </c>
      <c r="D550" s="2" t="s">
        <v>30</v>
      </c>
      <c r="E550" s="2" t="s">
        <v>13</v>
      </c>
      <c r="F550" s="2" t="s">
        <v>14</v>
      </c>
      <c r="G550" s="3">
        <v>346</v>
      </c>
      <c r="H550" s="1" t="s">
        <v>1337</v>
      </c>
      <c r="I550">
        <f t="shared" si="49"/>
        <v>10</v>
      </c>
      <c r="J550" t="str">
        <f t="shared" si="50"/>
        <v>Diwali</v>
      </c>
      <c r="K550" t="str">
        <f t="shared" si="51"/>
        <v>Promoted</v>
      </c>
      <c r="L550" t="str">
        <f t="shared" si="52"/>
        <v>Known Employee</v>
      </c>
      <c r="M550">
        <f t="shared" si="54"/>
        <v>6</v>
      </c>
      <c r="N550" t="str">
        <f t="shared" si="53"/>
        <v>October</v>
      </c>
    </row>
    <row r="551" spans="1:14" x14ac:dyDescent="0.3">
      <c r="A551" s="2" t="s">
        <v>1669</v>
      </c>
      <c r="B551" t="s">
        <v>316</v>
      </c>
      <c r="C551" s="2" t="s">
        <v>53</v>
      </c>
      <c r="D551" s="2" t="s">
        <v>83</v>
      </c>
      <c r="E551" s="2" t="s">
        <v>13</v>
      </c>
      <c r="F551" s="2" t="s">
        <v>40</v>
      </c>
      <c r="G551" s="3">
        <v>120</v>
      </c>
      <c r="H551" s="1" t="s">
        <v>1670</v>
      </c>
      <c r="I551">
        <f t="shared" si="49"/>
        <v>10</v>
      </c>
      <c r="J551" t="str">
        <f t="shared" si="50"/>
        <v>Diwali</v>
      </c>
      <c r="K551" t="str">
        <f t="shared" si="51"/>
        <v>Promoted</v>
      </c>
      <c r="L551" t="str">
        <f t="shared" si="52"/>
        <v>Known Employee</v>
      </c>
      <c r="M551">
        <f t="shared" si="54"/>
        <v>4</v>
      </c>
      <c r="N551" t="str">
        <f t="shared" si="53"/>
        <v>October</v>
      </c>
    </row>
    <row r="552" spans="1:14" x14ac:dyDescent="0.3">
      <c r="A552" s="2" t="s">
        <v>1602</v>
      </c>
      <c r="B552" t="s">
        <v>199</v>
      </c>
      <c r="C552" s="2" t="s">
        <v>53</v>
      </c>
      <c r="D552" s="2" t="s">
        <v>1945</v>
      </c>
      <c r="E552" s="2" t="s">
        <v>13</v>
      </c>
      <c r="F552" s="2" t="s">
        <v>14</v>
      </c>
      <c r="G552" s="3">
        <v>174</v>
      </c>
      <c r="H552" s="1" t="s">
        <v>1603</v>
      </c>
      <c r="I552">
        <f t="shared" si="49"/>
        <v>10</v>
      </c>
      <c r="J552" t="str">
        <f t="shared" si="50"/>
        <v>Diwali</v>
      </c>
      <c r="K552" t="str">
        <f t="shared" si="51"/>
        <v>Promoted</v>
      </c>
      <c r="L552" t="str">
        <f t="shared" si="52"/>
        <v>Employee</v>
      </c>
      <c r="M552">
        <f t="shared" si="54"/>
        <v>2</v>
      </c>
      <c r="N552" t="str">
        <f t="shared" si="53"/>
        <v>October</v>
      </c>
    </row>
    <row r="553" spans="1:14" x14ac:dyDescent="0.3">
      <c r="A553" s="2" t="s">
        <v>1586</v>
      </c>
      <c r="B553" t="s">
        <v>227</v>
      </c>
      <c r="C553" s="2" t="s">
        <v>246</v>
      </c>
      <c r="D553" s="2" t="s">
        <v>44</v>
      </c>
      <c r="E553" s="2" t="s">
        <v>13</v>
      </c>
      <c r="F553" s="2" t="s">
        <v>14</v>
      </c>
      <c r="G553" s="3">
        <v>685</v>
      </c>
      <c r="H553" s="1" t="s">
        <v>1587</v>
      </c>
      <c r="I553">
        <f t="shared" si="49"/>
        <v>10</v>
      </c>
      <c r="J553" t="str">
        <f t="shared" si="50"/>
        <v>Diwali</v>
      </c>
      <c r="K553" t="str">
        <f t="shared" si="51"/>
        <v>Promoted</v>
      </c>
      <c r="L553" t="str">
        <f t="shared" si="52"/>
        <v>Known Employee</v>
      </c>
      <c r="M553">
        <f t="shared" si="54"/>
        <v>8</v>
      </c>
      <c r="N553" t="str">
        <f t="shared" si="53"/>
        <v>October</v>
      </c>
    </row>
    <row r="554" spans="1:14" x14ac:dyDescent="0.3">
      <c r="A554" s="2" t="s">
        <v>959</v>
      </c>
      <c r="B554" t="s">
        <v>267</v>
      </c>
      <c r="C554" s="2" t="s">
        <v>18</v>
      </c>
      <c r="D554" s="2" t="s">
        <v>12</v>
      </c>
      <c r="E554" s="2" t="s">
        <v>13</v>
      </c>
      <c r="F554" s="2" t="s">
        <v>25</v>
      </c>
      <c r="G554" s="3">
        <v>240</v>
      </c>
      <c r="H554" s="1" t="s">
        <v>960</v>
      </c>
      <c r="I554">
        <f t="shared" si="49"/>
        <v>10</v>
      </c>
      <c r="J554" t="str">
        <f t="shared" si="50"/>
        <v>Diwali</v>
      </c>
      <c r="K554" t="str">
        <f t="shared" si="51"/>
        <v>Promoted</v>
      </c>
      <c r="L554" t="str">
        <f t="shared" si="52"/>
        <v>Known Employee</v>
      </c>
      <c r="M554">
        <f t="shared" si="54"/>
        <v>8</v>
      </c>
      <c r="N554" t="str">
        <f t="shared" si="53"/>
        <v>October</v>
      </c>
    </row>
    <row r="555" spans="1:14" x14ac:dyDescent="0.3">
      <c r="A555" s="2" t="s">
        <v>1139</v>
      </c>
      <c r="B555" t="s">
        <v>798</v>
      </c>
      <c r="C555" s="2" t="s">
        <v>53</v>
      </c>
      <c r="D555" s="2" t="s">
        <v>76</v>
      </c>
      <c r="E555" s="2" t="s">
        <v>24</v>
      </c>
      <c r="F555" s="2" t="s">
        <v>65</v>
      </c>
      <c r="G555" s="3">
        <v>553.5</v>
      </c>
      <c r="H555" s="1" t="s">
        <v>1140</v>
      </c>
      <c r="I555">
        <f t="shared" si="49"/>
        <v>11</v>
      </c>
      <c r="J555" t="str">
        <f t="shared" si="50"/>
        <v>Diwali</v>
      </c>
      <c r="K555" t="str">
        <f t="shared" si="51"/>
        <v>Promoted</v>
      </c>
      <c r="L555" t="str">
        <f t="shared" si="52"/>
        <v>Known Employee</v>
      </c>
      <c r="M555">
        <f t="shared" si="54"/>
        <v>6</v>
      </c>
      <c r="N555" t="str">
        <f t="shared" si="53"/>
        <v>November</v>
      </c>
    </row>
    <row r="556" spans="1:14" x14ac:dyDescent="0.3">
      <c r="A556" s="2" t="s">
        <v>247</v>
      </c>
      <c r="B556" t="s">
        <v>249</v>
      </c>
      <c r="C556" s="2" t="s">
        <v>53</v>
      </c>
      <c r="D556" s="2" t="s">
        <v>118</v>
      </c>
      <c r="E556" s="2" t="s">
        <v>13</v>
      </c>
      <c r="F556" s="2" t="s">
        <v>14</v>
      </c>
      <c r="G556" s="3">
        <v>180</v>
      </c>
      <c r="H556" s="1" t="s">
        <v>248</v>
      </c>
      <c r="I556">
        <f t="shared" si="49"/>
        <v>11</v>
      </c>
      <c r="J556" t="str">
        <f t="shared" si="50"/>
        <v>Diwali</v>
      </c>
      <c r="K556" t="str">
        <f t="shared" si="51"/>
        <v>Promoted</v>
      </c>
      <c r="L556" t="str">
        <f t="shared" si="52"/>
        <v>Known Employee</v>
      </c>
      <c r="M556">
        <f t="shared" si="54"/>
        <v>4</v>
      </c>
      <c r="N556" t="str">
        <f t="shared" si="53"/>
        <v>November</v>
      </c>
    </row>
    <row r="557" spans="1:14" x14ac:dyDescent="0.3">
      <c r="A557" s="2" t="s">
        <v>1080</v>
      </c>
      <c r="B557" t="s">
        <v>308</v>
      </c>
      <c r="C557" s="2" t="s">
        <v>18</v>
      </c>
      <c r="D557" s="2" t="s">
        <v>19</v>
      </c>
      <c r="E557" s="2" t="s">
        <v>13</v>
      </c>
      <c r="F557" s="2" t="s">
        <v>25</v>
      </c>
      <c r="G557" s="3">
        <v>326</v>
      </c>
      <c r="H557" s="1" t="s">
        <v>1081</v>
      </c>
      <c r="I557">
        <f t="shared" si="49"/>
        <v>11</v>
      </c>
      <c r="J557" t="str">
        <f t="shared" si="50"/>
        <v>Diwali</v>
      </c>
      <c r="K557" t="str">
        <f t="shared" si="51"/>
        <v>Promoted</v>
      </c>
      <c r="L557" t="str">
        <f t="shared" si="52"/>
        <v>Known Employee</v>
      </c>
      <c r="M557">
        <f t="shared" si="54"/>
        <v>4</v>
      </c>
      <c r="N557" t="str">
        <f t="shared" si="53"/>
        <v>November</v>
      </c>
    </row>
    <row r="558" spans="1:14" x14ac:dyDescent="0.3">
      <c r="A558" s="2" t="s">
        <v>1380</v>
      </c>
      <c r="B558" t="s">
        <v>743</v>
      </c>
      <c r="C558" s="2" t="s">
        <v>35</v>
      </c>
      <c r="D558" s="2" t="s">
        <v>340</v>
      </c>
      <c r="E558" s="2" t="s">
        <v>13</v>
      </c>
      <c r="F558" s="2" t="s">
        <v>65</v>
      </c>
      <c r="G558" s="3">
        <v>100</v>
      </c>
      <c r="H558" s="1" t="s">
        <v>1081</v>
      </c>
      <c r="I558">
        <f t="shared" si="49"/>
        <v>11</v>
      </c>
      <c r="J558" t="str">
        <f t="shared" si="50"/>
        <v>Diwali</v>
      </c>
      <c r="K558" t="str">
        <f t="shared" si="51"/>
        <v>Promoted</v>
      </c>
      <c r="L558" t="str">
        <f t="shared" si="52"/>
        <v>Known Employee</v>
      </c>
      <c r="M558">
        <f t="shared" si="54"/>
        <v>4</v>
      </c>
      <c r="N558" t="str">
        <f t="shared" si="53"/>
        <v>November</v>
      </c>
    </row>
    <row r="559" spans="1:14" x14ac:dyDescent="0.3">
      <c r="A559" s="2" t="s">
        <v>935</v>
      </c>
      <c r="B559" t="s">
        <v>319</v>
      </c>
      <c r="C559" s="2" t="s">
        <v>18</v>
      </c>
      <c r="D559" s="2" t="s">
        <v>87</v>
      </c>
      <c r="E559" s="2" t="s">
        <v>24</v>
      </c>
      <c r="F559" s="2" t="s">
        <v>25</v>
      </c>
      <c r="G559" s="3">
        <v>54</v>
      </c>
      <c r="H559" s="1" t="s">
        <v>936</v>
      </c>
      <c r="I559">
        <f t="shared" si="49"/>
        <v>11</v>
      </c>
      <c r="J559" t="str">
        <f t="shared" si="50"/>
        <v>Diwali</v>
      </c>
      <c r="K559" t="str">
        <f t="shared" si="51"/>
        <v>Promoted</v>
      </c>
      <c r="L559" t="str">
        <f t="shared" si="52"/>
        <v>Known Employee</v>
      </c>
      <c r="M559">
        <f t="shared" si="54"/>
        <v>6</v>
      </c>
      <c r="N559" t="str">
        <f t="shared" si="53"/>
        <v>November</v>
      </c>
    </row>
    <row r="560" spans="1:14" x14ac:dyDescent="0.3">
      <c r="A560" s="2" t="s">
        <v>299</v>
      </c>
      <c r="B560" t="s">
        <v>258</v>
      </c>
      <c r="C560" s="2" t="s">
        <v>53</v>
      </c>
      <c r="D560" s="2" t="s">
        <v>76</v>
      </c>
      <c r="E560" s="2" t="s">
        <v>13</v>
      </c>
      <c r="F560" s="2" t="s">
        <v>1945</v>
      </c>
      <c r="G560" s="3">
        <v>170</v>
      </c>
      <c r="H560" s="1" t="s">
        <v>300</v>
      </c>
      <c r="I560">
        <f t="shared" si="49"/>
        <v>11</v>
      </c>
      <c r="J560" t="str">
        <f t="shared" si="50"/>
        <v>Diwali</v>
      </c>
      <c r="K560" t="str">
        <f t="shared" si="51"/>
        <v>Promoted</v>
      </c>
      <c r="L560" t="str">
        <f t="shared" si="52"/>
        <v>Known Employee</v>
      </c>
      <c r="M560">
        <f t="shared" si="54"/>
        <v>8</v>
      </c>
      <c r="N560" t="str">
        <f t="shared" si="53"/>
        <v>November</v>
      </c>
    </row>
    <row r="561" spans="1:14" x14ac:dyDescent="0.3">
      <c r="A561" s="2" t="s">
        <v>995</v>
      </c>
      <c r="B561" t="s">
        <v>663</v>
      </c>
      <c r="C561" s="2" t="s">
        <v>18</v>
      </c>
      <c r="D561" s="2" t="s">
        <v>996</v>
      </c>
      <c r="E561" s="2" t="s">
        <v>158</v>
      </c>
      <c r="F561" s="2" t="s">
        <v>40</v>
      </c>
      <c r="G561" s="3">
        <v>310.64999999999998</v>
      </c>
      <c r="H561" s="1" t="s">
        <v>300</v>
      </c>
      <c r="I561">
        <f t="shared" si="49"/>
        <v>11</v>
      </c>
      <c r="J561" t="str">
        <f t="shared" si="50"/>
        <v>Diwali</v>
      </c>
      <c r="K561" t="str">
        <f t="shared" si="51"/>
        <v>Promoted</v>
      </c>
      <c r="L561" t="str">
        <f t="shared" si="52"/>
        <v>Known Employee</v>
      </c>
      <c r="M561">
        <f t="shared" si="54"/>
        <v>6</v>
      </c>
      <c r="N561" t="str">
        <f t="shared" si="53"/>
        <v>November</v>
      </c>
    </row>
    <row r="562" spans="1:14" x14ac:dyDescent="0.3">
      <c r="A562" s="2" t="s">
        <v>1936</v>
      </c>
      <c r="B562" t="s">
        <v>313</v>
      </c>
      <c r="C562" s="2" t="s">
        <v>18</v>
      </c>
      <c r="D562" s="2" t="s">
        <v>87</v>
      </c>
      <c r="E562" s="2" t="s">
        <v>13</v>
      </c>
      <c r="F562" s="2" t="s">
        <v>25</v>
      </c>
      <c r="G562" s="3">
        <v>690</v>
      </c>
      <c r="H562" s="1" t="s">
        <v>1502</v>
      </c>
      <c r="I562">
        <f t="shared" si="49"/>
        <v>11</v>
      </c>
      <c r="J562" t="str">
        <f t="shared" si="50"/>
        <v>Diwali</v>
      </c>
      <c r="K562" t="str">
        <f t="shared" si="51"/>
        <v>Promoted</v>
      </c>
      <c r="L562" t="str">
        <f t="shared" si="52"/>
        <v>Known Employee</v>
      </c>
      <c r="M562">
        <f t="shared" si="54"/>
        <v>3</v>
      </c>
      <c r="N562" t="str">
        <f t="shared" si="53"/>
        <v>November</v>
      </c>
    </row>
    <row r="563" spans="1:14" x14ac:dyDescent="0.3">
      <c r="A563" s="2" t="s">
        <v>1501</v>
      </c>
      <c r="B563" t="s">
        <v>754</v>
      </c>
      <c r="C563" s="2" t="s">
        <v>35</v>
      </c>
      <c r="D563" s="2" t="s">
        <v>140</v>
      </c>
      <c r="E563" s="2" t="s">
        <v>13</v>
      </c>
      <c r="F563" s="2" t="s">
        <v>65</v>
      </c>
      <c r="G563" s="3">
        <v>434</v>
      </c>
      <c r="H563" s="1" t="s">
        <v>1502</v>
      </c>
      <c r="I563">
        <f t="shared" si="49"/>
        <v>11</v>
      </c>
      <c r="J563" t="str">
        <f t="shared" si="50"/>
        <v>Diwali</v>
      </c>
      <c r="K563" t="str">
        <f t="shared" si="51"/>
        <v>Promoted</v>
      </c>
      <c r="L563" t="str">
        <f t="shared" si="52"/>
        <v>Known Employee</v>
      </c>
      <c r="M563">
        <f t="shared" si="54"/>
        <v>3</v>
      </c>
      <c r="N563" t="str">
        <f t="shared" si="53"/>
        <v>November</v>
      </c>
    </row>
    <row r="564" spans="1:14" x14ac:dyDescent="0.3">
      <c r="A564" s="2" t="s">
        <v>1797</v>
      </c>
      <c r="B564" t="s">
        <v>164</v>
      </c>
      <c r="C564" s="2" t="s">
        <v>29</v>
      </c>
      <c r="D564" s="2" t="s">
        <v>200</v>
      </c>
      <c r="E564" s="2" t="s">
        <v>1946</v>
      </c>
      <c r="F564" s="2" t="s">
        <v>14</v>
      </c>
      <c r="G564" s="3">
        <v>360</v>
      </c>
      <c r="H564" s="1" t="s">
        <v>1798</v>
      </c>
      <c r="I564">
        <f t="shared" si="49"/>
        <v>11</v>
      </c>
      <c r="J564" t="str">
        <f t="shared" si="50"/>
        <v>Diwali</v>
      </c>
      <c r="K564" t="str">
        <f t="shared" si="51"/>
        <v>Not Promoted</v>
      </c>
      <c r="L564" t="str">
        <f t="shared" si="52"/>
        <v>Known Employee</v>
      </c>
      <c r="M564">
        <f t="shared" si="54"/>
        <v>2</v>
      </c>
      <c r="N564" t="str">
        <f t="shared" si="53"/>
        <v>November</v>
      </c>
    </row>
    <row r="565" spans="1:14" x14ac:dyDescent="0.3">
      <c r="A565" s="2" t="s">
        <v>475</v>
      </c>
      <c r="B565" t="s">
        <v>477</v>
      </c>
      <c r="C565" s="2" t="s">
        <v>35</v>
      </c>
      <c r="D565" s="2" t="s">
        <v>340</v>
      </c>
      <c r="E565" s="2" t="s">
        <v>13</v>
      </c>
      <c r="F565" s="2" t="s">
        <v>25</v>
      </c>
      <c r="G565" s="3">
        <v>274</v>
      </c>
      <c r="H565" s="1" t="s">
        <v>476</v>
      </c>
      <c r="I565">
        <f t="shared" si="49"/>
        <v>11</v>
      </c>
      <c r="J565" t="str">
        <f t="shared" si="50"/>
        <v>Diwali</v>
      </c>
      <c r="K565" t="str">
        <f t="shared" si="51"/>
        <v>Promoted</v>
      </c>
      <c r="L565" t="str">
        <f t="shared" si="52"/>
        <v>Known Employee</v>
      </c>
      <c r="M565">
        <f t="shared" si="54"/>
        <v>2</v>
      </c>
      <c r="N565" t="str">
        <f t="shared" si="53"/>
        <v>November</v>
      </c>
    </row>
    <row r="566" spans="1:14" x14ac:dyDescent="0.3">
      <c r="A566" s="2" t="s">
        <v>1262</v>
      </c>
      <c r="B566" t="s">
        <v>1263</v>
      </c>
      <c r="C566" s="2" t="s">
        <v>29</v>
      </c>
      <c r="D566" s="2" t="s">
        <v>1245</v>
      </c>
      <c r="E566" s="2" t="s">
        <v>13</v>
      </c>
      <c r="F566" s="2" t="s">
        <v>25</v>
      </c>
      <c r="G566" s="3">
        <v>240</v>
      </c>
      <c r="H566" s="1" t="s">
        <v>900</v>
      </c>
      <c r="I566">
        <f t="shared" si="49"/>
        <v>11</v>
      </c>
      <c r="J566" t="str">
        <f t="shared" si="50"/>
        <v>Diwali</v>
      </c>
      <c r="K566" t="str">
        <f t="shared" si="51"/>
        <v>Promoted</v>
      </c>
      <c r="L566" t="str">
        <f t="shared" si="52"/>
        <v>Known Employee</v>
      </c>
      <c r="M566">
        <f t="shared" si="54"/>
        <v>2</v>
      </c>
      <c r="N566" t="str">
        <f t="shared" si="53"/>
        <v>November</v>
      </c>
    </row>
    <row r="567" spans="1:14" x14ac:dyDescent="0.3">
      <c r="A567" s="2" t="s">
        <v>899</v>
      </c>
      <c r="B567" t="s">
        <v>901</v>
      </c>
      <c r="C567" s="2" t="s">
        <v>29</v>
      </c>
      <c r="D567" s="2" t="s">
        <v>200</v>
      </c>
      <c r="E567" s="2" t="s">
        <v>158</v>
      </c>
      <c r="F567" s="2" t="s">
        <v>65</v>
      </c>
      <c r="G567" s="3">
        <v>368.6</v>
      </c>
      <c r="H567" s="1" t="s">
        <v>900</v>
      </c>
      <c r="I567">
        <f t="shared" si="49"/>
        <v>11</v>
      </c>
      <c r="J567" t="str">
        <f t="shared" si="50"/>
        <v>Diwali</v>
      </c>
      <c r="K567" t="str">
        <f t="shared" si="51"/>
        <v>Promoted</v>
      </c>
      <c r="L567" t="str">
        <f t="shared" si="52"/>
        <v>Known Employee</v>
      </c>
      <c r="M567">
        <f t="shared" si="54"/>
        <v>4</v>
      </c>
      <c r="N567" t="str">
        <f t="shared" si="53"/>
        <v>November</v>
      </c>
    </row>
    <row r="568" spans="1:14" x14ac:dyDescent="0.3">
      <c r="A568" s="2" t="s">
        <v>1625</v>
      </c>
      <c r="B568" t="s">
        <v>86</v>
      </c>
      <c r="C568" s="2" t="s">
        <v>53</v>
      </c>
      <c r="D568" s="2" t="s">
        <v>76</v>
      </c>
      <c r="E568" s="2" t="s">
        <v>13</v>
      </c>
      <c r="F568" s="2" t="s">
        <v>1945</v>
      </c>
      <c r="G568" s="3">
        <v>800</v>
      </c>
      <c r="H568" s="1" t="s">
        <v>1626</v>
      </c>
      <c r="I568">
        <f t="shared" si="49"/>
        <v>11</v>
      </c>
      <c r="J568" t="str">
        <f t="shared" si="50"/>
        <v>Diwali</v>
      </c>
      <c r="K568" t="str">
        <f t="shared" si="51"/>
        <v>Promoted</v>
      </c>
      <c r="L568" t="str">
        <f t="shared" si="52"/>
        <v>Known Employee</v>
      </c>
      <c r="M568">
        <f t="shared" si="54"/>
        <v>5</v>
      </c>
      <c r="N568" t="str">
        <f t="shared" si="53"/>
        <v>November</v>
      </c>
    </row>
    <row r="569" spans="1:14" x14ac:dyDescent="0.3">
      <c r="A569" s="2" t="s">
        <v>1539</v>
      </c>
      <c r="B569" t="s">
        <v>644</v>
      </c>
      <c r="C569" s="2" t="s">
        <v>35</v>
      </c>
      <c r="D569" s="2" t="s">
        <v>340</v>
      </c>
      <c r="E569" s="2" t="s">
        <v>13</v>
      </c>
      <c r="F569" s="2" t="s">
        <v>40</v>
      </c>
      <c r="G569" s="3">
        <v>340</v>
      </c>
      <c r="H569" s="1" t="s">
        <v>1966</v>
      </c>
      <c r="I569">
        <f t="shared" si="49"/>
        <v>11</v>
      </c>
      <c r="J569" t="str">
        <f t="shared" si="50"/>
        <v>Diwali</v>
      </c>
      <c r="K569" t="str">
        <f t="shared" si="51"/>
        <v>Promoted</v>
      </c>
      <c r="L569" t="str">
        <f t="shared" si="52"/>
        <v>Known Employee</v>
      </c>
      <c r="M569">
        <f t="shared" si="54"/>
        <v>5</v>
      </c>
      <c r="N569" t="str">
        <f t="shared" si="53"/>
        <v>November</v>
      </c>
    </row>
    <row r="570" spans="1:14" x14ac:dyDescent="0.3">
      <c r="A570" s="2" t="s">
        <v>1296</v>
      </c>
      <c r="B570" t="s">
        <v>594</v>
      </c>
      <c r="C570" s="2" t="s">
        <v>53</v>
      </c>
      <c r="D570" s="2" t="s">
        <v>76</v>
      </c>
      <c r="E570" s="2" t="s">
        <v>13</v>
      </c>
      <c r="F570" s="2" t="s">
        <v>40</v>
      </c>
      <c r="G570" s="3">
        <v>85</v>
      </c>
      <c r="H570" s="1" t="s">
        <v>1297</v>
      </c>
      <c r="I570">
        <f t="shared" si="49"/>
        <v>11</v>
      </c>
      <c r="J570" t="str">
        <f t="shared" si="50"/>
        <v>Diwali</v>
      </c>
      <c r="K570" t="str">
        <f t="shared" si="51"/>
        <v>Promoted</v>
      </c>
      <c r="L570" t="str">
        <f t="shared" si="52"/>
        <v>Known Employee</v>
      </c>
      <c r="M570">
        <f t="shared" si="54"/>
        <v>4</v>
      </c>
      <c r="N570" t="str">
        <f t="shared" si="53"/>
        <v>November</v>
      </c>
    </row>
    <row r="571" spans="1:14" x14ac:dyDescent="0.3">
      <c r="A571" s="2" t="s">
        <v>1772</v>
      </c>
      <c r="B571" t="s">
        <v>258</v>
      </c>
      <c r="C571" s="2" t="s">
        <v>35</v>
      </c>
      <c r="D571" s="2" t="s">
        <v>140</v>
      </c>
      <c r="E571" s="2" t="s">
        <v>13</v>
      </c>
      <c r="F571" s="2" t="s">
        <v>119</v>
      </c>
      <c r="G571" s="3">
        <v>160</v>
      </c>
      <c r="H571" s="1" t="s">
        <v>529</v>
      </c>
      <c r="I571">
        <f t="shared" si="49"/>
        <v>11</v>
      </c>
      <c r="J571" t="str">
        <f t="shared" si="50"/>
        <v>Diwali</v>
      </c>
      <c r="K571" t="str">
        <f t="shared" si="51"/>
        <v>Promoted</v>
      </c>
      <c r="L571" t="str">
        <f t="shared" si="52"/>
        <v>Known Employee</v>
      </c>
      <c r="M571">
        <f t="shared" si="54"/>
        <v>8</v>
      </c>
      <c r="N571" t="str">
        <f t="shared" si="53"/>
        <v>November</v>
      </c>
    </row>
    <row r="572" spans="1:14" x14ac:dyDescent="0.3">
      <c r="A572" s="2" t="s">
        <v>528</v>
      </c>
      <c r="B572" t="s">
        <v>530</v>
      </c>
      <c r="C572" s="2" t="s">
        <v>53</v>
      </c>
      <c r="D572" s="2" t="s">
        <v>531</v>
      </c>
      <c r="E572" s="2" t="s">
        <v>13</v>
      </c>
      <c r="F572" s="2" t="s">
        <v>1945</v>
      </c>
      <c r="G572" s="3">
        <v>335</v>
      </c>
      <c r="H572" s="1" t="s">
        <v>529</v>
      </c>
      <c r="I572">
        <f t="shared" si="49"/>
        <v>11</v>
      </c>
      <c r="J572" t="str">
        <f t="shared" si="50"/>
        <v>Diwali</v>
      </c>
      <c r="K572" t="str">
        <f t="shared" si="51"/>
        <v>Promoted</v>
      </c>
      <c r="L572" t="str">
        <f t="shared" si="52"/>
        <v>Known Employee</v>
      </c>
      <c r="M572">
        <f t="shared" si="54"/>
        <v>1</v>
      </c>
      <c r="N572" t="str">
        <f t="shared" si="53"/>
        <v>November</v>
      </c>
    </row>
    <row r="573" spans="1:14" x14ac:dyDescent="0.3">
      <c r="A573" s="2" t="s">
        <v>845</v>
      </c>
      <c r="B573" t="s">
        <v>245</v>
      </c>
      <c r="C573" s="2" t="s">
        <v>35</v>
      </c>
      <c r="D573" s="2" t="s">
        <v>340</v>
      </c>
      <c r="E573" s="2" t="s">
        <v>13</v>
      </c>
      <c r="F573" s="2" t="s">
        <v>40</v>
      </c>
      <c r="G573" s="3">
        <v>315</v>
      </c>
      <c r="H573" s="1" t="s">
        <v>846</v>
      </c>
      <c r="I573">
        <f t="shared" si="49"/>
        <v>11</v>
      </c>
      <c r="J573" t="str">
        <f t="shared" si="50"/>
        <v>Diwali</v>
      </c>
      <c r="K573" t="str">
        <f t="shared" si="51"/>
        <v>Promoted</v>
      </c>
      <c r="L573" t="str">
        <f t="shared" si="52"/>
        <v>Known Employee</v>
      </c>
      <c r="M573">
        <f t="shared" si="54"/>
        <v>4</v>
      </c>
      <c r="N573" t="str">
        <f t="shared" si="53"/>
        <v>November</v>
      </c>
    </row>
    <row r="574" spans="1:14" x14ac:dyDescent="0.3">
      <c r="A574" s="2" t="s">
        <v>409</v>
      </c>
      <c r="B574" t="s">
        <v>411</v>
      </c>
      <c r="C574" s="2" t="s">
        <v>35</v>
      </c>
      <c r="D574" s="2" t="s">
        <v>44</v>
      </c>
      <c r="E574" s="2" t="s">
        <v>54</v>
      </c>
      <c r="F574" s="2" t="s">
        <v>40</v>
      </c>
      <c r="G574" s="3">
        <v>85</v>
      </c>
      <c r="H574" s="1" t="s">
        <v>410</v>
      </c>
      <c r="I574">
        <f t="shared" si="49"/>
        <v>11</v>
      </c>
      <c r="J574" t="str">
        <f t="shared" si="50"/>
        <v>Diwali</v>
      </c>
      <c r="K574" t="str">
        <f t="shared" si="51"/>
        <v>Promoted</v>
      </c>
      <c r="L574" t="str">
        <f t="shared" si="52"/>
        <v>Known Employee</v>
      </c>
      <c r="M574">
        <f t="shared" si="54"/>
        <v>5</v>
      </c>
      <c r="N574" t="str">
        <f t="shared" si="53"/>
        <v>November</v>
      </c>
    </row>
    <row r="575" spans="1:14" x14ac:dyDescent="0.3">
      <c r="A575" s="2" t="s">
        <v>1147</v>
      </c>
      <c r="B575" t="s">
        <v>587</v>
      </c>
      <c r="C575" s="2" t="s">
        <v>29</v>
      </c>
      <c r="D575" s="2" t="s">
        <v>30</v>
      </c>
      <c r="E575" s="2" t="s">
        <v>13</v>
      </c>
      <c r="F575" s="2" t="s">
        <v>40</v>
      </c>
      <c r="G575" s="3">
        <v>130</v>
      </c>
      <c r="H575" s="1" t="s">
        <v>1148</v>
      </c>
      <c r="I575">
        <f t="shared" si="49"/>
        <v>11</v>
      </c>
      <c r="J575" t="str">
        <f t="shared" si="50"/>
        <v>Diwali</v>
      </c>
      <c r="K575" t="str">
        <f t="shared" si="51"/>
        <v>Promoted</v>
      </c>
      <c r="L575" t="str">
        <f t="shared" si="52"/>
        <v>Known Employee</v>
      </c>
      <c r="M575">
        <f t="shared" si="54"/>
        <v>4</v>
      </c>
      <c r="N575" t="str">
        <f t="shared" si="53"/>
        <v>November</v>
      </c>
    </row>
    <row r="576" spans="1:14" x14ac:dyDescent="0.3">
      <c r="A576" s="2" t="s">
        <v>450</v>
      </c>
      <c r="B576" t="s">
        <v>349</v>
      </c>
      <c r="C576" s="2" t="s">
        <v>11</v>
      </c>
      <c r="D576" s="2" t="s">
        <v>19</v>
      </c>
      <c r="E576" s="2" t="s">
        <v>289</v>
      </c>
      <c r="F576" s="2" t="s">
        <v>40</v>
      </c>
      <c r="G576" s="3">
        <v>154.85</v>
      </c>
      <c r="H576" s="1" t="s">
        <v>451</v>
      </c>
      <c r="I576">
        <f t="shared" si="49"/>
        <v>11</v>
      </c>
      <c r="J576" t="str">
        <f t="shared" si="50"/>
        <v>Diwali</v>
      </c>
      <c r="K576" t="str">
        <f t="shared" si="51"/>
        <v>Promoted</v>
      </c>
      <c r="L576" t="str">
        <f t="shared" si="52"/>
        <v>Known Employee</v>
      </c>
      <c r="M576">
        <f t="shared" si="54"/>
        <v>6</v>
      </c>
      <c r="N576" t="str">
        <f t="shared" si="53"/>
        <v>November</v>
      </c>
    </row>
    <row r="577" spans="1:14" x14ac:dyDescent="0.3">
      <c r="A577" s="2" t="s">
        <v>774</v>
      </c>
      <c r="B577" t="s">
        <v>371</v>
      </c>
      <c r="C577" s="2" t="s">
        <v>35</v>
      </c>
      <c r="D577" s="2" t="s">
        <v>72</v>
      </c>
      <c r="E577" s="2" t="s">
        <v>13</v>
      </c>
      <c r="F577" s="2" t="s">
        <v>65</v>
      </c>
      <c r="G577" s="3">
        <v>395</v>
      </c>
      <c r="H577" s="1" t="s">
        <v>775</v>
      </c>
      <c r="I577">
        <f t="shared" si="49"/>
        <v>11</v>
      </c>
      <c r="J577" t="str">
        <f t="shared" si="50"/>
        <v>Diwali</v>
      </c>
      <c r="K577" t="str">
        <f t="shared" si="51"/>
        <v>Promoted</v>
      </c>
      <c r="L577" t="str">
        <f t="shared" si="52"/>
        <v>Known Employee</v>
      </c>
      <c r="M577">
        <f t="shared" si="54"/>
        <v>5</v>
      </c>
      <c r="N577" t="str">
        <f t="shared" si="53"/>
        <v>November</v>
      </c>
    </row>
    <row r="578" spans="1:14" x14ac:dyDescent="0.3">
      <c r="A578" s="2" t="s">
        <v>989</v>
      </c>
      <c r="B578" t="s">
        <v>798</v>
      </c>
      <c r="C578" s="2" t="s">
        <v>29</v>
      </c>
      <c r="D578" s="2" t="s">
        <v>123</v>
      </c>
      <c r="E578" s="2" t="s">
        <v>13</v>
      </c>
      <c r="F578" s="2" t="s">
        <v>25</v>
      </c>
      <c r="G578" s="3">
        <v>535</v>
      </c>
      <c r="H578" s="1" t="s">
        <v>990</v>
      </c>
      <c r="I578">
        <f t="shared" ref="I578:I641" si="55">MONTH(H578)</f>
        <v>12</v>
      </c>
      <c r="J578" t="str">
        <f t="shared" ref="J578:J641" si="56">IF(OR(I578=10,I578=11),"Diwali",IF(I578=9,"Navratri",IF(I578=8,"Rakshabandhan",IF(I578=3,"Holi",IF(I578=1,"Makar Sankranti","Regular")))))</f>
        <v>Regular</v>
      </c>
      <c r="K578" t="str">
        <f t="shared" ref="K578:K641" si="57" xml:space="preserve"> IF(E578="No Promotion", "Not Promoted", "Promoted")</f>
        <v>Promoted</v>
      </c>
      <c r="L578" t="str">
        <f t="shared" ref="L578:L641" si="58" xml:space="preserve"> IF(D578="Unknown","Employee","Known Employee")</f>
        <v>Known Employee</v>
      </c>
      <c r="M578">
        <f t="shared" si="54"/>
        <v>6</v>
      </c>
      <c r="N578" t="str">
        <f t="shared" si="53"/>
        <v>December</v>
      </c>
    </row>
    <row r="579" spans="1:14" x14ac:dyDescent="0.3">
      <c r="A579" s="2" t="s">
        <v>674</v>
      </c>
      <c r="B579" t="s">
        <v>610</v>
      </c>
      <c r="C579" s="2" t="s">
        <v>53</v>
      </c>
      <c r="D579" s="2" t="s">
        <v>76</v>
      </c>
      <c r="E579" s="2" t="s">
        <v>1946</v>
      </c>
      <c r="F579" s="2" t="s">
        <v>1945</v>
      </c>
      <c r="G579" s="3">
        <v>202.5</v>
      </c>
      <c r="H579" s="1" t="s">
        <v>675</v>
      </c>
      <c r="I579">
        <f t="shared" si="55"/>
        <v>12</v>
      </c>
      <c r="J579" t="str">
        <f t="shared" si="56"/>
        <v>Regular</v>
      </c>
      <c r="K579" t="str">
        <f t="shared" si="57"/>
        <v>Not Promoted</v>
      </c>
      <c r="L579" t="str">
        <f t="shared" si="58"/>
        <v>Known Employee</v>
      </c>
      <c r="M579">
        <f t="shared" si="54"/>
        <v>7</v>
      </c>
      <c r="N579" t="str">
        <f t="shared" ref="N579:N642" si="59">TEXT(DATE(2000, I579, 1), "mmmm")</f>
        <v>December</v>
      </c>
    </row>
    <row r="580" spans="1:14" x14ac:dyDescent="0.3">
      <c r="A580" s="2" t="s">
        <v>1013</v>
      </c>
      <c r="B580" t="s">
        <v>491</v>
      </c>
      <c r="C580" s="2" t="s">
        <v>53</v>
      </c>
      <c r="D580" s="2" t="s">
        <v>138</v>
      </c>
      <c r="E580" s="2" t="s">
        <v>24</v>
      </c>
      <c r="F580" s="2" t="s">
        <v>14</v>
      </c>
      <c r="G580" s="3">
        <v>405</v>
      </c>
      <c r="H580" s="1" t="s">
        <v>675</v>
      </c>
      <c r="I580">
        <f t="shared" si="55"/>
        <v>12</v>
      </c>
      <c r="J580" t="str">
        <f t="shared" si="56"/>
        <v>Regular</v>
      </c>
      <c r="K580" t="str">
        <f t="shared" si="57"/>
        <v>Promoted</v>
      </c>
      <c r="L580" t="str">
        <f t="shared" si="58"/>
        <v>Known Employee</v>
      </c>
      <c r="M580">
        <f t="shared" si="54"/>
        <v>5</v>
      </c>
      <c r="N580" t="str">
        <f t="shared" si="59"/>
        <v>December</v>
      </c>
    </row>
    <row r="581" spans="1:14" x14ac:dyDescent="0.3">
      <c r="A581" s="2" t="s">
        <v>250</v>
      </c>
      <c r="B581" t="s">
        <v>252</v>
      </c>
      <c r="C581" s="2" t="s">
        <v>53</v>
      </c>
      <c r="D581" s="2" t="s">
        <v>118</v>
      </c>
      <c r="E581" s="2" t="s">
        <v>13</v>
      </c>
      <c r="F581" s="2" t="s">
        <v>14</v>
      </c>
      <c r="G581" s="3">
        <v>465</v>
      </c>
      <c r="H581" s="1" t="s">
        <v>251</v>
      </c>
      <c r="I581">
        <f t="shared" si="55"/>
        <v>12</v>
      </c>
      <c r="J581" t="str">
        <f t="shared" si="56"/>
        <v>Regular</v>
      </c>
      <c r="K581" t="str">
        <f t="shared" si="57"/>
        <v>Promoted</v>
      </c>
      <c r="L581" t="str">
        <f t="shared" si="58"/>
        <v>Known Employee</v>
      </c>
      <c r="M581">
        <f t="shared" si="54"/>
        <v>3</v>
      </c>
      <c r="N581" t="str">
        <f t="shared" si="59"/>
        <v>December</v>
      </c>
    </row>
    <row r="582" spans="1:14" x14ac:dyDescent="0.3">
      <c r="A582" s="2" t="s">
        <v>426</v>
      </c>
      <c r="B582" t="s">
        <v>310</v>
      </c>
      <c r="C582" s="2" t="s">
        <v>29</v>
      </c>
      <c r="D582" s="2" t="s">
        <v>123</v>
      </c>
      <c r="E582" s="2" t="s">
        <v>24</v>
      </c>
      <c r="F582" s="2" t="s">
        <v>40</v>
      </c>
      <c r="G582" s="3">
        <v>228.6</v>
      </c>
      <c r="H582" s="1" t="s">
        <v>427</v>
      </c>
      <c r="I582">
        <f t="shared" si="55"/>
        <v>12</v>
      </c>
      <c r="J582" t="str">
        <f t="shared" si="56"/>
        <v>Regular</v>
      </c>
      <c r="K582" t="str">
        <f t="shared" si="57"/>
        <v>Promoted</v>
      </c>
      <c r="L582" t="str">
        <f t="shared" si="58"/>
        <v>Known Employee</v>
      </c>
      <c r="M582">
        <f t="shared" si="54"/>
        <v>3</v>
      </c>
      <c r="N582" t="str">
        <f t="shared" si="59"/>
        <v>December</v>
      </c>
    </row>
    <row r="583" spans="1:14" x14ac:dyDescent="0.3">
      <c r="A583" s="2" t="s">
        <v>495</v>
      </c>
      <c r="B583" t="s">
        <v>497</v>
      </c>
      <c r="C583" s="2" t="s">
        <v>35</v>
      </c>
      <c r="D583" s="2" t="s">
        <v>340</v>
      </c>
      <c r="E583" s="2" t="s">
        <v>13</v>
      </c>
      <c r="F583" s="2" t="s">
        <v>65</v>
      </c>
      <c r="G583" s="3">
        <v>330</v>
      </c>
      <c r="H583" s="1" t="s">
        <v>498</v>
      </c>
      <c r="I583">
        <f t="shared" si="55"/>
        <v>12</v>
      </c>
      <c r="J583" t="str">
        <f t="shared" si="56"/>
        <v>Regular</v>
      </c>
      <c r="K583" t="str">
        <f t="shared" si="57"/>
        <v>Promoted</v>
      </c>
      <c r="L583" t="str">
        <f t="shared" si="58"/>
        <v>Known Employee</v>
      </c>
      <c r="M583">
        <f t="shared" si="54"/>
        <v>6</v>
      </c>
      <c r="N583" t="str">
        <f t="shared" si="59"/>
        <v>December</v>
      </c>
    </row>
    <row r="584" spans="1:14" x14ac:dyDescent="0.3">
      <c r="A584" s="2" t="s">
        <v>1443</v>
      </c>
      <c r="B584" t="s">
        <v>134</v>
      </c>
      <c r="C584" s="2" t="s">
        <v>29</v>
      </c>
      <c r="D584" s="2" t="s">
        <v>30</v>
      </c>
      <c r="E584" s="2" t="s">
        <v>1946</v>
      </c>
      <c r="F584" s="2" t="s">
        <v>65</v>
      </c>
      <c r="G584" s="3">
        <v>120</v>
      </c>
      <c r="H584" s="1" t="s">
        <v>1444</v>
      </c>
      <c r="I584">
        <f t="shared" si="55"/>
        <v>12</v>
      </c>
      <c r="J584" t="str">
        <f t="shared" si="56"/>
        <v>Regular</v>
      </c>
      <c r="K584" t="str">
        <f t="shared" si="57"/>
        <v>Not Promoted</v>
      </c>
      <c r="L584" t="str">
        <f t="shared" si="58"/>
        <v>Known Employee</v>
      </c>
      <c r="M584">
        <f t="shared" si="54"/>
        <v>5</v>
      </c>
      <c r="N584" t="str">
        <f t="shared" si="59"/>
        <v>December</v>
      </c>
    </row>
    <row r="585" spans="1:14" x14ac:dyDescent="0.3">
      <c r="A585" s="2" t="s">
        <v>1305</v>
      </c>
      <c r="B585" t="s">
        <v>694</v>
      </c>
      <c r="C585" s="2" t="s">
        <v>29</v>
      </c>
      <c r="D585" s="2" t="s">
        <v>49</v>
      </c>
      <c r="E585" s="2" t="s">
        <v>54</v>
      </c>
      <c r="F585" s="2" t="s">
        <v>14</v>
      </c>
      <c r="G585" s="3">
        <v>323</v>
      </c>
      <c r="H585" s="1" t="s">
        <v>1306</v>
      </c>
      <c r="I585">
        <f t="shared" si="55"/>
        <v>12</v>
      </c>
      <c r="J585" t="str">
        <f t="shared" si="56"/>
        <v>Regular</v>
      </c>
      <c r="K585" t="str">
        <f t="shared" si="57"/>
        <v>Promoted</v>
      </c>
      <c r="L585" t="str">
        <f t="shared" si="58"/>
        <v>Known Employee</v>
      </c>
      <c r="M585">
        <f t="shared" si="54"/>
        <v>4</v>
      </c>
      <c r="N585" t="str">
        <f t="shared" si="59"/>
        <v>December</v>
      </c>
    </row>
    <row r="586" spans="1:14" x14ac:dyDescent="0.3">
      <c r="A586" s="2" t="s">
        <v>764</v>
      </c>
      <c r="B586" t="s">
        <v>766</v>
      </c>
      <c r="C586" s="2" t="s">
        <v>29</v>
      </c>
      <c r="D586" s="2" t="s">
        <v>30</v>
      </c>
      <c r="E586" s="2" t="s">
        <v>13</v>
      </c>
      <c r="F586" s="2" t="s">
        <v>65</v>
      </c>
      <c r="G586" s="3">
        <v>424</v>
      </c>
      <c r="H586" s="1" t="s">
        <v>765</v>
      </c>
      <c r="I586">
        <f t="shared" si="55"/>
        <v>12</v>
      </c>
      <c r="J586" t="str">
        <f t="shared" si="56"/>
        <v>Regular</v>
      </c>
      <c r="K586" t="str">
        <f t="shared" si="57"/>
        <v>Promoted</v>
      </c>
      <c r="L586" t="str">
        <f t="shared" si="58"/>
        <v>Known Employee</v>
      </c>
      <c r="M586">
        <f t="shared" ref="M586:M649" si="60">COUNTIF($B$1:$B$805, B586)</f>
        <v>2</v>
      </c>
      <c r="N586" t="str">
        <f t="shared" si="59"/>
        <v>December</v>
      </c>
    </row>
    <row r="587" spans="1:14" x14ac:dyDescent="0.3">
      <c r="A587" s="2" t="s">
        <v>916</v>
      </c>
      <c r="B587" t="s">
        <v>918</v>
      </c>
      <c r="C587" s="2" t="s">
        <v>53</v>
      </c>
      <c r="D587" s="2" t="s">
        <v>83</v>
      </c>
      <c r="E587" s="2" t="s">
        <v>13</v>
      </c>
      <c r="F587" s="2" t="s">
        <v>1945</v>
      </c>
      <c r="G587" s="3">
        <v>356</v>
      </c>
      <c r="H587" s="1" t="s">
        <v>917</v>
      </c>
      <c r="I587">
        <f t="shared" si="55"/>
        <v>12</v>
      </c>
      <c r="J587" t="str">
        <f t="shared" si="56"/>
        <v>Regular</v>
      </c>
      <c r="K587" t="str">
        <f t="shared" si="57"/>
        <v>Promoted</v>
      </c>
      <c r="L587" t="str">
        <f t="shared" si="58"/>
        <v>Known Employee</v>
      </c>
      <c r="M587">
        <f t="shared" si="60"/>
        <v>3</v>
      </c>
      <c r="N587" t="str">
        <f t="shared" si="59"/>
        <v>December</v>
      </c>
    </row>
    <row r="588" spans="1:14" x14ac:dyDescent="0.3">
      <c r="A588" s="2" t="s">
        <v>1288</v>
      </c>
      <c r="B588" t="s">
        <v>1019</v>
      </c>
      <c r="C588" s="2" t="s">
        <v>53</v>
      </c>
      <c r="D588" s="2" t="s">
        <v>76</v>
      </c>
      <c r="E588" s="2" t="s">
        <v>1946</v>
      </c>
      <c r="F588" s="2" t="s">
        <v>14</v>
      </c>
      <c r="G588" s="3">
        <v>165.3</v>
      </c>
      <c r="H588" s="1" t="s">
        <v>917</v>
      </c>
      <c r="I588">
        <f t="shared" si="55"/>
        <v>12</v>
      </c>
      <c r="J588" t="str">
        <f t="shared" si="56"/>
        <v>Regular</v>
      </c>
      <c r="K588" t="str">
        <f t="shared" si="57"/>
        <v>Not Promoted</v>
      </c>
      <c r="L588" t="str">
        <f t="shared" si="58"/>
        <v>Known Employee</v>
      </c>
      <c r="M588">
        <f t="shared" si="60"/>
        <v>3</v>
      </c>
      <c r="N588" t="str">
        <f t="shared" si="59"/>
        <v>December</v>
      </c>
    </row>
    <row r="589" spans="1:14" x14ac:dyDescent="0.3">
      <c r="A589" s="2" t="s">
        <v>1462</v>
      </c>
      <c r="B589" t="s">
        <v>1172</v>
      </c>
      <c r="C589" s="2" t="s">
        <v>18</v>
      </c>
      <c r="D589" s="2" t="s">
        <v>494</v>
      </c>
      <c r="E589" s="2" t="s">
        <v>13</v>
      </c>
      <c r="F589" s="2" t="s">
        <v>40</v>
      </c>
      <c r="G589" s="3">
        <v>545</v>
      </c>
      <c r="H589" s="1" t="s">
        <v>917</v>
      </c>
      <c r="I589">
        <f t="shared" si="55"/>
        <v>12</v>
      </c>
      <c r="J589" t="str">
        <f t="shared" si="56"/>
        <v>Regular</v>
      </c>
      <c r="K589" t="str">
        <f t="shared" si="57"/>
        <v>Promoted</v>
      </c>
      <c r="L589" t="str">
        <f t="shared" si="58"/>
        <v>Known Employee</v>
      </c>
      <c r="M589">
        <f t="shared" si="60"/>
        <v>3</v>
      </c>
      <c r="N589" t="str">
        <f t="shared" si="59"/>
        <v>December</v>
      </c>
    </row>
    <row r="590" spans="1:14" x14ac:dyDescent="0.3">
      <c r="A590" s="2" t="s">
        <v>441</v>
      </c>
      <c r="B590" t="s">
        <v>411</v>
      </c>
      <c r="C590" s="2" t="s">
        <v>18</v>
      </c>
      <c r="D590" s="2" t="s">
        <v>87</v>
      </c>
      <c r="E590" s="2" t="s">
        <v>13</v>
      </c>
      <c r="F590" s="2" t="s">
        <v>25</v>
      </c>
      <c r="G590" s="3">
        <v>180</v>
      </c>
      <c r="H590" s="1" t="s">
        <v>442</v>
      </c>
      <c r="I590">
        <f t="shared" si="55"/>
        <v>12</v>
      </c>
      <c r="J590" t="str">
        <f t="shared" si="56"/>
        <v>Regular</v>
      </c>
      <c r="K590" t="str">
        <f t="shared" si="57"/>
        <v>Promoted</v>
      </c>
      <c r="L590" t="str">
        <f t="shared" si="58"/>
        <v>Known Employee</v>
      </c>
      <c r="M590">
        <f t="shared" si="60"/>
        <v>5</v>
      </c>
      <c r="N590" t="str">
        <f t="shared" si="59"/>
        <v>December</v>
      </c>
    </row>
    <row r="591" spans="1:14" x14ac:dyDescent="0.3">
      <c r="A591" s="2" t="s">
        <v>389</v>
      </c>
      <c r="B591" t="s">
        <v>391</v>
      </c>
      <c r="C591" s="2" t="s">
        <v>35</v>
      </c>
      <c r="D591" s="2" t="s">
        <v>392</v>
      </c>
      <c r="E591" s="2" t="s">
        <v>54</v>
      </c>
      <c r="F591" s="2" t="s">
        <v>65</v>
      </c>
      <c r="G591" s="3">
        <v>199.75</v>
      </c>
      <c r="H591" s="1" t="s">
        <v>390</v>
      </c>
      <c r="I591">
        <f t="shared" si="55"/>
        <v>1</v>
      </c>
      <c r="J591" t="str">
        <f t="shared" si="56"/>
        <v>Makar Sankranti</v>
      </c>
      <c r="K591" t="str">
        <f t="shared" si="57"/>
        <v>Promoted</v>
      </c>
      <c r="L591" t="str">
        <f t="shared" si="58"/>
        <v>Known Employee</v>
      </c>
      <c r="M591">
        <f t="shared" si="60"/>
        <v>1</v>
      </c>
      <c r="N591" t="str">
        <f t="shared" si="59"/>
        <v>January</v>
      </c>
    </row>
    <row r="592" spans="1:14" x14ac:dyDescent="0.3">
      <c r="A592" s="2" t="s">
        <v>1493</v>
      </c>
      <c r="B592" t="s">
        <v>177</v>
      </c>
      <c r="C592" s="2" t="s">
        <v>29</v>
      </c>
      <c r="D592" s="2" t="s">
        <v>200</v>
      </c>
      <c r="E592" s="2" t="s">
        <v>13</v>
      </c>
      <c r="F592" s="2" t="s">
        <v>25</v>
      </c>
      <c r="G592" s="3">
        <v>150</v>
      </c>
      <c r="H592" s="1" t="s">
        <v>1494</v>
      </c>
      <c r="I592">
        <f t="shared" si="55"/>
        <v>1</v>
      </c>
      <c r="J592" t="str">
        <f t="shared" si="56"/>
        <v>Makar Sankranti</v>
      </c>
      <c r="K592" t="str">
        <f t="shared" si="57"/>
        <v>Promoted</v>
      </c>
      <c r="L592" t="str">
        <f t="shared" si="58"/>
        <v>Known Employee</v>
      </c>
      <c r="M592">
        <f t="shared" si="60"/>
        <v>5</v>
      </c>
      <c r="N592" t="str">
        <f t="shared" si="59"/>
        <v>January</v>
      </c>
    </row>
    <row r="593" spans="1:14" x14ac:dyDescent="0.3">
      <c r="A593" s="2" t="s">
        <v>197</v>
      </c>
      <c r="B593" t="s">
        <v>199</v>
      </c>
      <c r="C593" s="2" t="s">
        <v>29</v>
      </c>
      <c r="D593" s="2" t="s">
        <v>200</v>
      </c>
      <c r="E593" s="2" t="s">
        <v>13</v>
      </c>
      <c r="F593" s="2" t="s">
        <v>14</v>
      </c>
      <c r="G593" s="3">
        <v>465</v>
      </c>
      <c r="H593" s="1" t="s">
        <v>198</v>
      </c>
      <c r="I593">
        <f t="shared" si="55"/>
        <v>1</v>
      </c>
      <c r="J593" t="str">
        <f t="shared" si="56"/>
        <v>Makar Sankranti</v>
      </c>
      <c r="K593" t="str">
        <f t="shared" si="57"/>
        <v>Promoted</v>
      </c>
      <c r="L593" t="str">
        <f t="shared" si="58"/>
        <v>Known Employee</v>
      </c>
      <c r="M593">
        <f t="shared" si="60"/>
        <v>2</v>
      </c>
      <c r="N593" t="str">
        <f t="shared" si="59"/>
        <v>January</v>
      </c>
    </row>
    <row r="594" spans="1:14" x14ac:dyDescent="0.3">
      <c r="A594" s="2" t="s">
        <v>1740</v>
      </c>
      <c r="B594" t="s">
        <v>396</v>
      </c>
      <c r="C594" s="2" t="s">
        <v>29</v>
      </c>
      <c r="D594" s="2" t="s">
        <v>123</v>
      </c>
      <c r="E594" s="2" t="s">
        <v>54</v>
      </c>
      <c r="F594" s="2" t="s">
        <v>40</v>
      </c>
      <c r="G594" s="3">
        <v>208.25</v>
      </c>
      <c r="H594" s="1" t="s">
        <v>198</v>
      </c>
      <c r="I594">
        <f t="shared" si="55"/>
        <v>1</v>
      </c>
      <c r="J594" t="str">
        <f t="shared" si="56"/>
        <v>Makar Sankranti</v>
      </c>
      <c r="K594" t="str">
        <f t="shared" si="57"/>
        <v>Promoted</v>
      </c>
      <c r="L594" t="str">
        <f t="shared" si="58"/>
        <v>Known Employee</v>
      </c>
      <c r="M594">
        <f t="shared" si="60"/>
        <v>6</v>
      </c>
      <c r="N594" t="str">
        <f t="shared" si="59"/>
        <v>January</v>
      </c>
    </row>
    <row r="595" spans="1:14" x14ac:dyDescent="0.3">
      <c r="A595" s="2" t="s">
        <v>397</v>
      </c>
      <c r="B595" t="s">
        <v>82</v>
      </c>
      <c r="C595" s="2" t="s">
        <v>53</v>
      </c>
      <c r="D595" s="2" t="s">
        <v>118</v>
      </c>
      <c r="E595" s="2" t="s">
        <v>13</v>
      </c>
      <c r="F595" s="2" t="s">
        <v>25</v>
      </c>
      <c r="G595" s="3">
        <v>60</v>
      </c>
      <c r="H595" s="1" t="s">
        <v>198</v>
      </c>
      <c r="I595">
        <f t="shared" si="55"/>
        <v>1</v>
      </c>
      <c r="J595" t="str">
        <f t="shared" si="56"/>
        <v>Makar Sankranti</v>
      </c>
      <c r="K595" t="str">
        <f t="shared" si="57"/>
        <v>Promoted</v>
      </c>
      <c r="L595" t="str">
        <f t="shared" si="58"/>
        <v>Known Employee</v>
      </c>
      <c r="M595">
        <f t="shared" si="60"/>
        <v>5</v>
      </c>
      <c r="N595" t="str">
        <f t="shared" si="59"/>
        <v>January</v>
      </c>
    </row>
    <row r="596" spans="1:14" x14ac:dyDescent="0.3">
      <c r="A596" s="2" t="s">
        <v>808</v>
      </c>
      <c r="B596" t="s">
        <v>86</v>
      </c>
      <c r="C596" s="2" t="s">
        <v>35</v>
      </c>
      <c r="D596" s="2" t="s">
        <v>340</v>
      </c>
      <c r="E596" s="2" t="s">
        <v>54</v>
      </c>
      <c r="F596" s="2" t="s">
        <v>25</v>
      </c>
      <c r="G596" s="3">
        <v>115.6</v>
      </c>
      <c r="H596" s="1" t="s">
        <v>809</v>
      </c>
      <c r="I596">
        <f t="shared" si="55"/>
        <v>1</v>
      </c>
      <c r="J596" t="str">
        <f t="shared" si="56"/>
        <v>Makar Sankranti</v>
      </c>
      <c r="K596" t="str">
        <f t="shared" si="57"/>
        <v>Promoted</v>
      </c>
      <c r="L596" t="str">
        <f t="shared" si="58"/>
        <v>Known Employee</v>
      </c>
      <c r="M596">
        <f t="shared" si="60"/>
        <v>5</v>
      </c>
      <c r="N596" t="str">
        <f t="shared" si="59"/>
        <v>January</v>
      </c>
    </row>
    <row r="597" spans="1:14" x14ac:dyDescent="0.3">
      <c r="A597" s="2" t="s">
        <v>954</v>
      </c>
      <c r="B597" t="s">
        <v>956</v>
      </c>
      <c r="C597" s="2" t="s">
        <v>479</v>
      </c>
      <c r="D597" s="2" t="s">
        <v>49</v>
      </c>
      <c r="E597" s="2" t="s">
        <v>13</v>
      </c>
      <c r="F597" s="2" t="s">
        <v>40</v>
      </c>
      <c r="G597" s="3">
        <v>113</v>
      </c>
      <c r="H597" s="1" t="s">
        <v>955</v>
      </c>
      <c r="I597">
        <f t="shared" si="55"/>
        <v>1</v>
      </c>
      <c r="J597" t="str">
        <f t="shared" si="56"/>
        <v>Makar Sankranti</v>
      </c>
      <c r="K597" t="str">
        <f t="shared" si="57"/>
        <v>Promoted</v>
      </c>
      <c r="L597" t="str">
        <f t="shared" si="58"/>
        <v>Known Employee</v>
      </c>
      <c r="M597">
        <f t="shared" si="60"/>
        <v>1</v>
      </c>
      <c r="N597" t="str">
        <f t="shared" si="59"/>
        <v>January</v>
      </c>
    </row>
    <row r="598" spans="1:14" x14ac:dyDescent="0.3">
      <c r="A598" s="2" t="s">
        <v>997</v>
      </c>
      <c r="B598" t="s">
        <v>671</v>
      </c>
      <c r="C598" s="2" t="s">
        <v>53</v>
      </c>
      <c r="D598" s="2" t="s">
        <v>104</v>
      </c>
      <c r="E598" s="2" t="s">
        <v>13</v>
      </c>
      <c r="F598" s="2" t="s">
        <v>65</v>
      </c>
      <c r="G598" s="3">
        <v>661</v>
      </c>
      <c r="H598" s="1" t="s">
        <v>998</v>
      </c>
      <c r="I598">
        <f t="shared" si="55"/>
        <v>1</v>
      </c>
      <c r="J598" t="str">
        <f t="shared" si="56"/>
        <v>Makar Sankranti</v>
      </c>
      <c r="K598" t="str">
        <f t="shared" si="57"/>
        <v>Promoted</v>
      </c>
      <c r="L598" t="str">
        <f t="shared" si="58"/>
        <v>Known Employee</v>
      </c>
      <c r="M598">
        <f t="shared" si="60"/>
        <v>6</v>
      </c>
      <c r="N598" t="str">
        <f t="shared" si="59"/>
        <v>January</v>
      </c>
    </row>
    <row r="599" spans="1:14" x14ac:dyDescent="0.3">
      <c r="A599" s="2" t="s">
        <v>124</v>
      </c>
      <c r="B599" t="s">
        <v>126</v>
      </c>
      <c r="C599" s="2" t="s">
        <v>35</v>
      </c>
      <c r="D599" s="2" t="s">
        <v>36</v>
      </c>
      <c r="E599" s="2" t="s">
        <v>1946</v>
      </c>
      <c r="F599" s="2" t="s">
        <v>25</v>
      </c>
      <c r="G599" s="3">
        <v>355</v>
      </c>
      <c r="H599" s="1" t="s">
        <v>125</v>
      </c>
      <c r="I599">
        <f t="shared" si="55"/>
        <v>1</v>
      </c>
      <c r="J599" t="str">
        <f t="shared" si="56"/>
        <v>Makar Sankranti</v>
      </c>
      <c r="K599" t="str">
        <f t="shared" si="57"/>
        <v>Not Promoted</v>
      </c>
      <c r="L599" t="str">
        <f t="shared" si="58"/>
        <v>Known Employee</v>
      </c>
      <c r="M599">
        <f t="shared" si="60"/>
        <v>4</v>
      </c>
      <c r="N599" t="str">
        <f t="shared" si="59"/>
        <v>January</v>
      </c>
    </row>
    <row r="600" spans="1:14" x14ac:dyDescent="0.3">
      <c r="A600" s="2" t="s">
        <v>1162</v>
      </c>
      <c r="B600" t="s">
        <v>1164</v>
      </c>
      <c r="C600" s="2" t="s">
        <v>53</v>
      </c>
      <c r="D600" s="2" t="s">
        <v>104</v>
      </c>
      <c r="E600" s="2" t="s">
        <v>13</v>
      </c>
      <c r="F600" s="2" t="s">
        <v>1945</v>
      </c>
      <c r="G600" s="3">
        <v>115</v>
      </c>
      <c r="H600" s="1" t="s">
        <v>1163</v>
      </c>
      <c r="I600">
        <f t="shared" si="55"/>
        <v>1</v>
      </c>
      <c r="J600" t="str">
        <f t="shared" si="56"/>
        <v>Makar Sankranti</v>
      </c>
      <c r="K600" t="str">
        <f t="shared" si="57"/>
        <v>Promoted</v>
      </c>
      <c r="L600" t="str">
        <f t="shared" si="58"/>
        <v>Known Employee</v>
      </c>
      <c r="M600">
        <f t="shared" si="60"/>
        <v>5</v>
      </c>
      <c r="N600" t="str">
        <f t="shared" si="59"/>
        <v>January</v>
      </c>
    </row>
    <row r="601" spans="1:14" x14ac:dyDescent="0.3">
      <c r="A601" s="2" t="s">
        <v>1550</v>
      </c>
      <c r="B601" t="s">
        <v>1242</v>
      </c>
      <c r="C601" s="2" t="s">
        <v>18</v>
      </c>
      <c r="D601" s="2" t="s">
        <v>23</v>
      </c>
      <c r="E601" s="2" t="s">
        <v>13</v>
      </c>
      <c r="F601" s="2" t="s">
        <v>65</v>
      </c>
      <c r="G601" s="3">
        <v>381</v>
      </c>
      <c r="H601" s="1" t="s">
        <v>1163</v>
      </c>
      <c r="I601">
        <f t="shared" si="55"/>
        <v>1</v>
      </c>
      <c r="J601" t="str">
        <f t="shared" si="56"/>
        <v>Makar Sankranti</v>
      </c>
      <c r="K601" t="str">
        <f t="shared" si="57"/>
        <v>Promoted</v>
      </c>
      <c r="L601" t="str">
        <f t="shared" si="58"/>
        <v>Known Employee</v>
      </c>
      <c r="M601">
        <f t="shared" si="60"/>
        <v>2</v>
      </c>
      <c r="N601" t="str">
        <f t="shared" si="59"/>
        <v>January</v>
      </c>
    </row>
    <row r="602" spans="1:14" x14ac:dyDescent="0.3">
      <c r="A602" s="2" t="s">
        <v>1717</v>
      </c>
      <c r="B602" t="s">
        <v>52</v>
      </c>
      <c r="C602" s="2" t="s">
        <v>18</v>
      </c>
      <c r="D602" s="2" t="s">
        <v>295</v>
      </c>
      <c r="E602" s="2" t="s">
        <v>54</v>
      </c>
      <c r="F602" s="2" t="s">
        <v>65</v>
      </c>
      <c r="G602" s="3">
        <v>97.75</v>
      </c>
      <c r="H602" s="1" t="s">
        <v>1718</v>
      </c>
      <c r="I602">
        <f t="shared" si="55"/>
        <v>1</v>
      </c>
      <c r="J602" t="str">
        <f t="shared" si="56"/>
        <v>Makar Sankranti</v>
      </c>
      <c r="K602" t="str">
        <f t="shared" si="57"/>
        <v>Promoted</v>
      </c>
      <c r="L602" t="str">
        <f t="shared" si="58"/>
        <v>Known Employee</v>
      </c>
      <c r="M602">
        <f t="shared" si="60"/>
        <v>4</v>
      </c>
      <c r="N602" t="str">
        <f t="shared" si="59"/>
        <v>January</v>
      </c>
    </row>
    <row r="603" spans="1:14" x14ac:dyDescent="0.3">
      <c r="A603" s="2" t="s">
        <v>1111</v>
      </c>
      <c r="B603" t="s">
        <v>694</v>
      </c>
      <c r="C603" s="2" t="s">
        <v>35</v>
      </c>
      <c r="D603" s="2" t="s">
        <v>36</v>
      </c>
      <c r="E603" s="2" t="s">
        <v>54</v>
      </c>
      <c r="F603" s="2" t="s">
        <v>40</v>
      </c>
      <c r="G603" s="3">
        <v>98.6</v>
      </c>
      <c r="H603" s="1" t="s">
        <v>1112</v>
      </c>
      <c r="I603">
        <f t="shared" si="55"/>
        <v>1</v>
      </c>
      <c r="J603" t="str">
        <f t="shared" si="56"/>
        <v>Makar Sankranti</v>
      </c>
      <c r="K603" t="str">
        <f t="shared" si="57"/>
        <v>Promoted</v>
      </c>
      <c r="L603" t="str">
        <f t="shared" si="58"/>
        <v>Known Employee</v>
      </c>
      <c r="M603">
        <f t="shared" si="60"/>
        <v>4</v>
      </c>
      <c r="N603" t="str">
        <f t="shared" si="59"/>
        <v>January</v>
      </c>
    </row>
    <row r="604" spans="1:14" x14ac:dyDescent="0.3">
      <c r="A604" s="2" t="s">
        <v>572</v>
      </c>
      <c r="B604" t="s">
        <v>107</v>
      </c>
      <c r="C604" s="2" t="s">
        <v>18</v>
      </c>
      <c r="D604" s="2" t="s">
        <v>23</v>
      </c>
      <c r="E604" s="2" t="s">
        <v>13</v>
      </c>
      <c r="F604" s="2" t="s">
        <v>65</v>
      </c>
      <c r="G604" s="3">
        <v>408</v>
      </c>
      <c r="H604" s="1" t="s">
        <v>573</v>
      </c>
      <c r="I604">
        <f t="shared" si="55"/>
        <v>1</v>
      </c>
      <c r="J604" t="str">
        <f t="shared" si="56"/>
        <v>Makar Sankranti</v>
      </c>
      <c r="K604" t="str">
        <f t="shared" si="57"/>
        <v>Promoted</v>
      </c>
      <c r="L604" t="str">
        <f t="shared" si="58"/>
        <v>Known Employee</v>
      </c>
      <c r="M604">
        <f t="shared" si="60"/>
        <v>5</v>
      </c>
      <c r="N604" t="str">
        <f t="shared" si="59"/>
        <v>January</v>
      </c>
    </row>
    <row r="605" spans="1:14" x14ac:dyDescent="0.3">
      <c r="A605" s="2" t="s">
        <v>1246</v>
      </c>
      <c r="B605" t="s">
        <v>460</v>
      </c>
      <c r="C605" s="2" t="s">
        <v>53</v>
      </c>
      <c r="D605" s="2" t="s">
        <v>464</v>
      </c>
      <c r="E605" s="2" t="s">
        <v>13</v>
      </c>
      <c r="F605" s="2" t="s">
        <v>65</v>
      </c>
      <c r="G605" s="3">
        <v>585</v>
      </c>
      <c r="H605" s="1" t="s">
        <v>573</v>
      </c>
      <c r="I605">
        <f t="shared" si="55"/>
        <v>1</v>
      </c>
      <c r="J605" t="str">
        <f t="shared" si="56"/>
        <v>Makar Sankranti</v>
      </c>
      <c r="K605" t="str">
        <f t="shared" si="57"/>
        <v>Promoted</v>
      </c>
      <c r="L605" t="str">
        <f t="shared" si="58"/>
        <v>Known Employee</v>
      </c>
      <c r="M605">
        <f t="shared" si="60"/>
        <v>4</v>
      </c>
      <c r="N605" t="str">
        <f t="shared" si="59"/>
        <v>January</v>
      </c>
    </row>
    <row r="606" spans="1:14" x14ac:dyDescent="0.3">
      <c r="A606" s="2" t="s">
        <v>1641</v>
      </c>
      <c r="B606" t="s">
        <v>245</v>
      </c>
      <c r="C606" s="2" t="s">
        <v>29</v>
      </c>
      <c r="D606" s="2" t="s">
        <v>49</v>
      </c>
      <c r="E606" s="2" t="s">
        <v>13</v>
      </c>
      <c r="F606" s="2" t="s">
        <v>65</v>
      </c>
      <c r="G606" s="3">
        <v>324</v>
      </c>
      <c r="H606" s="1" t="s">
        <v>1642</v>
      </c>
      <c r="I606">
        <f t="shared" si="55"/>
        <v>1</v>
      </c>
      <c r="J606" t="str">
        <f t="shared" si="56"/>
        <v>Makar Sankranti</v>
      </c>
      <c r="K606" t="str">
        <f t="shared" si="57"/>
        <v>Promoted</v>
      </c>
      <c r="L606" t="str">
        <f t="shared" si="58"/>
        <v>Known Employee</v>
      </c>
      <c r="M606">
        <f t="shared" si="60"/>
        <v>4</v>
      </c>
      <c r="N606" t="str">
        <f t="shared" si="59"/>
        <v>January</v>
      </c>
    </row>
    <row r="607" spans="1:14" x14ac:dyDescent="0.3">
      <c r="A607" s="2" t="s">
        <v>1370</v>
      </c>
      <c r="B607" t="s">
        <v>766</v>
      </c>
      <c r="C607" s="2" t="s">
        <v>18</v>
      </c>
      <c r="D607" s="2" t="s">
        <v>19</v>
      </c>
      <c r="E607" s="2" t="s">
        <v>13</v>
      </c>
      <c r="F607" s="2" t="s">
        <v>25</v>
      </c>
      <c r="G607" s="3">
        <v>596</v>
      </c>
      <c r="H607" s="1" t="s">
        <v>1964</v>
      </c>
      <c r="I607">
        <f t="shared" si="55"/>
        <v>1</v>
      </c>
      <c r="J607" t="str">
        <f t="shared" si="56"/>
        <v>Makar Sankranti</v>
      </c>
      <c r="K607" t="str">
        <f t="shared" si="57"/>
        <v>Promoted</v>
      </c>
      <c r="L607" t="str">
        <f t="shared" si="58"/>
        <v>Known Employee</v>
      </c>
      <c r="M607">
        <f t="shared" si="60"/>
        <v>2</v>
      </c>
      <c r="N607" t="str">
        <f t="shared" si="59"/>
        <v>January</v>
      </c>
    </row>
    <row r="608" spans="1:14" x14ac:dyDescent="0.3">
      <c r="A608" s="2" t="s">
        <v>1266</v>
      </c>
      <c r="B608" t="s">
        <v>644</v>
      </c>
      <c r="C608" s="2" t="s">
        <v>53</v>
      </c>
      <c r="D608" s="2" t="s">
        <v>83</v>
      </c>
      <c r="E608" s="2" t="s">
        <v>24</v>
      </c>
      <c r="F608" s="2" t="s">
        <v>40</v>
      </c>
      <c r="G608" s="3">
        <v>228.6</v>
      </c>
      <c r="H608" s="1" t="s">
        <v>1267</v>
      </c>
      <c r="I608">
        <f t="shared" si="55"/>
        <v>1</v>
      </c>
      <c r="J608" t="str">
        <f t="shared" si="56"/>
        <v>Makar Sankranti</v>
      </c>
      <c r="K608" t="str">
        <f t="shared" si="57"/>
        <v>Promoted</v>
      </c>
      <c r="L608" t="str">
        <f t="shared" si="58"/>
        <v>Known Employee</v>
      </c>
      <c r="M608">
        <f t="shared" si="60"/>
        <v>5</v>
      </c>
      <c r="N608" t="str">
        <f t="shared" si="59"/>
        <v>January</v>
      </c>
    </row>
    <row r="609" spans="1:14" x14ac:dyDescent="0.3">
      <c r="A609" s="2" t="s">
        <v>1873</v>
      </c>
      <c r="B609" t="s">
        <v>346</v>
      </c>
      <c r="C609" s="2" t="s">
        <v>18</v>
      </c>
      <c r="D609" s="2" t="s">
        <v>19</v>
      </c>
      <c r="E609" s="2" t="s">
        <v>13</v>
      </c>
      <c r="F609" s="2" t="s">
        <v>65</v>
      </c>
      <c r="G609" s="3">
        <v>205</v>
      </c>
      <c r="H609" s="1" t="s">
        <v>1874</v>
      </c>
      <c r="I609">
        <f t="shared" si="55"/>
        <v>2</v>
      </c>
      <c r="J609" t="str">
        <f t="shared" si="56"/>
        <v>Regular</v>
      </c>
      <c r="K609" t="str">
        <f t="shared" si="57"/>
        <v>Promoted</v>
      </c>
      <c r="L609" t="str">
        <f t="shared" si="58"/>
        <v>Known Employee</v>
      </c>
      <c r="M609">
        <f t="shared" si="60"/>
        <v>5</v>
      </c>
      <c r="N609" t="str">
        <f t="shared" si="59"/>
        <v>February</v>
      </c>
    </row>
    <row r="610" spans="1:14" x14ac:dyDescent="0.3">
      <c r="A610" s="2" t="s">
        <v>181</v>
      </c>
      <c r="B610" t="s">
        <v>183</v>
      </c>
      <c r="C610" s="2" t="s">
        <v>53</v>
      </c>
      <c r="D610" s="2" t="s">
        <v>138</v>
      </c>
      <c r="E610" s="2" t="s">
        <v>13</v>
      </c>
      <c r="F610" s="2" t="s">
        <v>25</v>
      </c>
      <c r="G610" s="3">
        <v>210</v>
      </c>
      <c r="H610" s="1" t="s">
        <v>182</v>
      </c>
      <c r="I610">
        <f t="shared" si="55"/>
        <v>2</v>
      </c>
      <c r="J610" t="str">
        <f t="shared" si="56"/>
        <v>Regular</v>
      </c>
      <c r="K610" t="str">
        <f t="shared" si="57"/>
        <v>Promoted</v>
      </c>
      <c r="L610" t="str">
        <f t="shared" si="58"/>
        <v>Known Employee</v>
      </c>
      <c r="M610">
        <f t="shared" si="60"/>
        <v>6</v>
      </c>
      <c r="N610" t="str">
        <f t="shared" si="59"/>
        <v>February</v>
      </c>
    </row>
    <row r="611" spans="1:14" x14ac:dyDescent="0.3">
      <c r="A611" s="2" t="s">
        <v>1708</v>
      </c>
      <c r="B611" t="s">
        <v>224</v>
      </c>
      <c r="C611" s="2" t="s">
        <v>35</v>
      </c>
      <c r="D611" s="2" t="s">
        <v>44</v>
      </c>
      <c r="E611" s="2" t="s">
        <v>13</v>
      </c>
      <c r="F611" s="2" t="s">
        <v>65</v>
      </c>
      <c r="G611" s="3">
        <v>116</v>
      </c>
      <c r="H611" s="1" t="s">
        <v>1709</v>
      </c>
      <c r="I611">
        <f t="shared" si="55"/>
        <v>2</v>
      </c>
      <c r="J611" t="str">
        <f t="shared" si="56"/>
        <v>Regular</v>
      </c>
      <c r="K611" t="str">
        <f t="shared" si="57"/>
        <v>Promoted</v>
      </c>
      <c r="L611" t="str">
        <f t="shared" si="58"/>
        <v>Known Employee</v>
      </c>
      <c r="M611">
        <f t="shared" si="60"/>
        <v>4</v>
      </c>
      <c r="N611" t="str">
        <f t="shared" si="59"/>
        <v>February</v>
      </c>
    </row>
    <row r="612" spans="1:14" x14ac:dyDescent="0.3">
      <c r="A612" s="2" t="s">
        <v>1388</v>
      </c>
      <c r="B612" t="s">
        <v>303</v>
      </c>
      <c r="C612" s="2" t="s">
        <v>53</v>
      </c>
      <c r="D612" s="2" t="s">
        <v>771</v>
      </c>
      <c r="E612" s="2" t="s">
        <v>64</v>
      </c>
      <c r="F612" s="2" t="s">
        <v>65</v>
      </c>
      <c r="G612" s="3">
        <v>569</v>
      </c>
      <c r="H612" s="1" t="s">
        <v>1389</v>
      </c>
      <c r="I612">
        <f t="shared" si="55"/>
        <v>2</v>
      </c>
      <c r="J612" t="str">
        <f t="shared" si="56"/>
        <v>Regular</v>
      </c>
      <c r="K612" t="str">
        <f t="shared" si="57"/>
        <v>Promoted</v>
      </c>
      <c r="L612" t="str">
        <f t="shared" si="58"/>
        <v>Known Employee</v>
      </c>
      <c r="M612">
        <f t="shared" si="60"/>
        <v>7</v>
      </c>
      <c r="N612" t="str">
        <f t="shared" si="59"/>
        <v>February</v>
      </c>
    </row>
    <row r="613" spans="1:14" x14ac:dyDescent="0.3">
      <c r="A613" s="2" t="s">
        <v>1350</v>
      </c>
      <c r="B613" t="s">
        <v>245</v>
      </c>
      <c r="C613" s="2" t="s">
        <v>53</v>
      </c>
      <c r="D613" s="2" t="s">
        <v>104</v>
      </c>
      <c r="E613" s="2" t="s">
        <v>13</v>
      </c>
      <c r="F613" s="2" t="s">
        <v>65</v>
      </c>
      <c r="G613" s="3">
        <v>236</v>
      </c>
      <c r="H613" s="1" t="s">
        <v>1351</v>
      </c>
      <c r="I613">
        <f t="shared" si="55"/>
        <v>2</v>
      </c>
      <c r="J613" t="str">
        <f t="shared" si="56"/>
        <v>Regular</v>
      </c>
      <c r="K613" t="str">
        <f t="shared" si="57"/>
        <v>Promoted</v>
      </c>
      <c r="L613" t="str">
        <f t="shared" si="58"/>
        <v>Known Employee</v>
      </c>
      <c r="M613">
        <f t="shared" si="60"/>
        <v>4</v>
      </c>
      <c r="N613" t="str">
        <f t="shared" si="59"/>
        <v>February</v>
      </c>
    </row>
    <row r="614" spans="1:14" x14ac:dyDescent="0.3">
      <c r="A614" s="2" t="s">
        <v>1015</v>
      </c>
      <c r="B614" t="s">
        <v>381</v>
      </c>
      <c r="C614" s="2" t="s">
        <v>53</v>
      </c>
      <c r="D614" s="2" t="s">
        <v>83</v>
      </c>
      <c r="E614" s="2" t="s">
        <v>1946</v>
      </c>
      <c r="F614" s="2" t="s">
        <v>1945</v>
      </c>
      <c r="G614" s="3">
        <v>455</v>
      </c>
      <c r="H614" s="1" t="s">
        <v>1016</v>
      </c>
      <c r="I614">
        <f t="shared" si="55"/>
        <v>2</v>
      </c>
      <c r="J614" t="str">
        <f t="shared" si="56"/>
        <v>Regular</v>
      </c>
      <c r="K614" t="str">
        <f t="shared" si="57"/>
        <v>Not Promoted</v>
      </c>
      <c r="L614" t="str">
        <f t="shared" si="58"/>
        <v>Known Employee</v>
      </c>
      <c r="M614">
        <f t="shared" si="60"/>
        <v>5</v>
      </c>
      <c r="N614" t="str">
        <f t="shared" si="59"/>
        <v>February</v>
      </c>
    </row>
    <row r="615" spans="1:14" x14ac:dyDescent="0.3">
      <c r="A615" s="2" t="s">
        <v>949</v>
      </c>
      <c r="B615" t="s">
        <v>517</v>
      </c>
      <c r="C615" s="2" t="s">
        <v>29</v>
      </c>
      <c r="D615" s="2" t="s">
        <v>123</v>
      </c>
      <c r="E615" s="2" t="s">
        <v>13</v>
      </c>
      <c r="F615" s="2" t="s">
        <v>14</v>
      </c>
      <c r="G615" s="3">
        <v>186</v>
      </c>
      <c r="H615" s="1" t="s">
        <v>950</v>
      </c>
      <c r="I615">
        <f t="shared" si="55"/>
        <v>2</v>
      </c>
      <c r="J615" t="str">
        <f t="shared" si="56"/>
        <v>Regular</v>
      </c>
      <c r="K615" t="str">
        <f t="shared" si="57"/>
        <v>Promoted</v>
      </c>
      <c r="L615" t="str">
        <f t="shared" si="58"/>
        <v>Known Employee</v>
      </c>
      <c r="M615">
        <f t="shared" si="60"/>
        <v>5</v>
      </c>
      <c r="N615" t="str">
        <f t="shared" si="59"/>
        <v>February</v>
      </c>
    </row>
    <row r="616" spans="1:14" x14ac:dyDescent="0.3">
      <c r="A616" s="2" t="s">
        <v>1882</v>
      </c>
      <c r="B616" t="s">
        <v>1185</v>
      </c>
      <c r="C616" s="2" t="s">
        <v>29</v>
      </c>
      <c r="D616" s="2" t="s">
        <v>123</v>
      </c>
      <c r="E616" s="2" t="s">
        <v>13</v>
      </c>
      <c r="F616" s="2" t="s">
        <v>1945</v>
      </c>
      <c r="G616" s="3">
        <v>285</v>
      </c>
      <c r="H616" s="1" t="s">
        <v>1883</v>
      </c>
      <c r="I616">
        <f t="shared" si="55"/>
        <v>2</v>
      </c>
      <c r="J616" t="str">
        <f t="shared" si="56"/>
        <v>Regular</v>
      </c>
      <c r="K616" t="str">
        <f t="shared" si="57"/>
        <v>Promoted</v>
      </c>
      <c r="L616" t="str">
        <f t="shared" si="58"/>
        <v>Known Employee</v>
      </c>
      <c r="M616">
        <f t="shared" si="60"/>
        <v>4</v>
      </c>
      <c r="N616" t="str">
        <f t="shared" si="59"/>
        <v>February</v>
      </c>
    </row>
    <row r="617" spans="1:14" x14ac:dyDescent="0.3">
      <c r="A617" s="2" t="s">
        <v>1117</v>
      </c>
      <c r="B617" t="s">
        <v>620</v>
      </c>
      <c r="C617" s="2" t="s">
        <v>29</v>
      </c>
      <c r="D617" s="2" t="s">
        <v>49</v>
      </c>
      <c r="E617" s="2" t="s">
        <v>13</v>
      </c>
      <c r="F617" s="2" t="s">
        <v>25</v>
      </c>
      <c r="G617" s="3">
        <v>390</v>
      </c>
      <c r="H617" s="1" t="s">
        <v>1118</v>
      </c>
      <c r="I617">
        <f t="shared" si="55"/>
        <v>2</v>
      </c>
      <c r="J617" t="str">
        <f t="shared" si="56"/>
        <v>Regular</v>
      </c>
      <c r="K617" t="str">
        <f t="shared" si="57"/>
        <v>Promoted</v>
      </c>
      <c r="L617" t="str">
        <f t="shared" si="58"/>
        <v>Known Employee</v>
      </c>
      <c r="M617">
        <f t="shared" si="60"/>
        <v>4</v>
      </c>
      <c r="N617" t="str">
        <f t="shared" si="59"/>
        <v>February</v>
      </c>
    </row>
    <row r="618" spans="1:14" x14ac:dyDescent="0.3">
      <c r="A618" s="2" t="s">
        <v>1915</v>
      </c>
      <c r="B618" t="s">
        <v>396</v>
      </c>
      <c r="C618" s="2" t="s">
        <v>35</v>
      </c>
      <c r="D618" s="2" t="s">
        <v>44</v>
      </c>
      <c r="E618" s="2" t="s">
        <v>13</v>
      </c>
      <c r="F618" s="2" t="s">
        <v>65</v>
      </c>
      <c r="G618" s="3">
        <v>300</v>
      </c>
      <c r="H618" s="1" t="s">
        <v>1916</v>
      </c>
      <c r="I618">
        <f t="shared" si="55"/>
        <v>2</v>
      </c>
      <c r="J618" t="str">
        <f t="shared" si="56"/>
        <v>Regular</v>
      </c>
      <c r="K618" t="str">
        <f t="shared" si="57"/>
        <v>Promoted</v>
      </c>
      <c r="L618" t="str">
        <f t="shared" si="58"/>
        <v>Known Employee</v>
      </c>
      <c r="M618">
        <f t="shared" si="60"/>
        <v>6</v>
      </c>
      <c r="N618" t="str">
        <f t="shared" si="59"/>
        <v>February</v>
      </c>
    </row>
    <row r="619" spans="1:14" x14ac:dyDescent="0.3">
      <c r="A619" s="2" t="s">
        <v>1567</v>
      </c>
      <c r="B619" t="s">
        <v>264</v>
      </c>
      <c r="C619" s="2" t="s">
        <v>18</v>
      </c>
      <c r="D619" s="2" t="s">
        <v>23</v>
      </c>
      <c r="E619" s="2" t="s">
        <v>13</v>
      </c>
      <c r="F619" s="2" t="s">
        <v>25</v>
      </c>
      <c r="G619" s="3">
        <v>70</v>
      </c>
      <c r="H619" s="1" t="s">
        <v>1568</v>
      </c>
      <c r="I619">
        <f t="shared" si="55"/>
        <v>2</v>
      </c>
      <c r="J619" t="str">
        <f t="shared" si="56"/>
        <v>Regular</v>
      </c>
      <c r="K619" t="str">
        <f t="shared" si="57"/>
        <v>Promoted</v>
      </c>
      <c r="L619" t="str">
        <f t="shared" si="58"/>
        <v>Known Employee</v>
      </c>
      <c r="M619">
        <f t="shared" si="60"/>
        <v>6</v>
      </c>
      <c r="N619" t="str">
        <f t="shared" si="59"/>
        <v>February</v>
      </c>
    </row>
    <row r="620" spans="1:14" x14ac:dyDescent="0.3">
      <c r="A620" s="2" t="s">
        <v>55</v>
      </c>
      <c r="B620" t="s">
        <v>57</v>
      </c>
      <c r="C620" s="2" t="s">
        <v>35</v>
      </c>
      <c r="D620" s="2" t="s">
        <v>44</v>
      </c>
      <c r="E620" s="2" t="s">
        <v>13</v>
      </c>
      <c r="F620" s="2" t="s">
        <v>14</v>
      </c>
      <c r="G620" s="3">
        <v>235</v>
      </c>
      <c r="H620" s="1" t="s">
        <v>56</v>
      </c>
      <c r="I620">
        <f t="shared" si="55"/>
        <v>2</v>
      </c>
      <c r="J620" t="str">
        <f t="shared" si="56"/>
        <v>Regular</v>
      </c>
      <c r="K620" t="str">
        <f t="shared" si="57"/>
        <v>Promoted</v>
      </c>
      <c r="L620" t="str">
        <f t="shared" si="58"/>
        <v>Known Employee</v>
      </c>
      <c r="M620">
        <f t="shared" si="60"/>
        <v>8</v>
      </c>
      <c r="N620" t="str">
        <f t="shared" si="59"/>
        <v>February</v>
      </c>
    </row>
    <row r="621" spans="1:14" x14ac:dyDescent="0.3">
      <c r="A621" s="2" t="s">
        <v>91</v>
      </c>
      <c r="B621" t="s">
        <v>93</v>
      </c>
      <c r="C621" s="2" t="s">
        <v>35</v>
      </c>
      <c r="D621" s="2" t="s">
        <v>44</v>
      </c>
      <c r="E621" s="2" t="s">
        <v>24</v>
      </c>
      <c r="F621" s="2" t="s">
        <v>25</v>
      </c>
      <c r="G621" s="3">
        <v>49.5</v>
      </c>
      <c r="H621" s="1" t="s">
        <v>92</v>
      </c>
      <c r="I621">
        <f t="shared" si="55"/>
        <v>3</v>
      </c>
      <c r="J621" t="str">
        <f t="shared" si="56"/>
        <v>Holi</v>
      </c>
      <c r="K621" t="str">
        <f t="shared" si="57"/>
        <v>Promoted</v>
      </c>
      <c r="L621" t="str">
        <f t="shared" si="58"/>
        <v>Known Employee</v>
      </c>
      <c r="M621">
        <f t="shared" si="60"/>
        <v>5</v>
      </c>
      <c r="N621" t="str">
        <f t="shared" si="59"/>
        <v>March</v>
      </c>
    </row>
    <row r="622" spans="1:14" x14ac:dyDescent="0.3">
      <c r="A622" s="2" t="s">
        <v>1816</v>
      </c>
      <c r="B622" t="s">
        <v>196</v>
      </c>
      <c r="C622" s="2" t="s">
        <v>29</v>
      </c>
      <c r="D622" s="2" t="s">
        <v>200</v>
      </c>
      <c r="E622" s="2" t="s">
        <v>54</v>
      </c>
      <c r="F622" s="2" t="s">
        <v>65</v>
      </c>
      <c r="G622" s="3">
        <v>353.6</v>
      </c>
      <c r="H622" s="1" t="s">
        <v>92</v>
      </c>
      <c r="I622">
        <f t="shared" si="55"/>
        <v>3</v>
      </c>
      <c r="J622" t="str">
        <f t="shared" si="56"/>
        <v>Holi</v>
      </c>
      <c r="K622" t="str">
        <f t="shared" si="57"/>
        <v>Promoted</v>
      </c>
      <c r="L622" t="str">
        <f t="shared" si="58"/>
        <v>Known Employee</v>
      </c>
      <c r="M622">
        <f t="shared" si="60"/>
        <v>8</v>
      </c>
      <c r="N622" t="str">
        <f t="shared" si="59"/>
        <v>March</v>
      </c>
    </row>
    <row r="623" spans="1:14" x14ac:dyDescent="0.3">
      <c r="A623" s="2" t="s">
        <v>655</v>
      </c>
      <c r="B623" t="s">
        <v>34</v>
      </c>
      <c r="C623" s="2" t="s">
        <v>53</v>
      </c>
      <c r="D623" s="2" t="s">
        <v>104</v>
      </c>
      <c r="E623" s="2" t="s">
        <v>13</v>
      </c>
      <c r="F623" s="2" t="s">
        <v>65</v>
      </c>
      <c r="G623" s="3">
        <v>699</v>
      </c>
      <c r="H623" s="1" t="s">
        <v>656</v>
      </c>
      <c r="I623">
        <f t="shared" si="55"/>
        <v>3</v>
      </c>
      <c r="J623" t="str">
        <f t="shared" si="56"/>
        <v>Holi</v>
      </c>
      <c r="K623" t="str">
        <f t="shared" si="57"/>
        <v>Promoted</v>
      </c>
      <c r="L623" t="str">
        <f t="shared" si="58"/>
        <v>Known Employee</v>
      </c>
      <c r="M623">
        <f t="shared" si="60"/>
        <v>4</v>
      </c>
      <c r="N623" t="str">
        <f t="shared" si="59"/>
        <v>March</v>
      </c>
    </row>
    <row r="624" spans="1:14" x14ac:dyDescent="0.3">
      <c r="A624" s="2" t="s">
        <v>1398</v>
      </c>
      <c r="B624" t="s">
        <v>1198</v>
      </c>
      <c r="C624" s="2" t="s">
        <v>35</v>
      </c>
      <c r="D624" s="2" t="s">
        <v>44</v>
      </c>
      <c r="E624" s="2" t="s">
        <v>13</v>
      </c>
      <c r="F624" s="2" t="s">
        <v>40</v>
      </c>
      <c r="G624" s="3">
        <v>240</v>
      </c>
      <c r="H624" s="1" t="s">
        <v>1399</v>
      </c>
      <c r="I624">
        <f t="shared" si="55"/>
        <v>3</v>
      </c>
      <c r="J624" t="str">
        <f t="shared" si="56"/>
        <v>Holi</v>
      </c>
      <c r="K624" t="str">
        <f t="shared" si="57"/>
        <v>Promoted</v>
      </c>
      <c r="L624" t="str">
        <f t="shared" si="58"/>
        <v>Known Employee</v>
      </c>
      <c r="M624">
        <f t="shared" si="60"/>
        <v>4</v>
      </c>
      <c r="N624" t="str">
        <f t="shared" si="59"/>
        <v>March</v>
      </c>
    </row>
    <row r="625" spans="1:14" x14ac:dyDescent="0.3">
      <c r="A625" s="2" t="s">
        <v>1473</v>
      </c>
      <c r="B625" t="s">
        <v>770</v>
      </c>
      <c r="C625" s="2" t="s">
        <v>29</v>
      </c>
      <c r="D625" s="2" t="s">
        <v>168</v>
      </c>
      <c r="E625" s="2" t="s">
        <v>13</v>
      </c>
      <c r="F625" s="2" t="s">
        <v>65</v>
      </c>
      <c r="G625" s="3">
        <v>480</v>
      </c>
      <c r="H625" s="1" t="s">
        <v>1469</v>
      </c>
      <c r="I625">
        <f t="shared" si="55"/>
        <v>3</v>
      </c>
      <c r="J625" t="str">
        <f t="shared" si="56"/>
        <v>Holi</v>
      </c>
      <c r="K625" t="str">
        <f t="shared" si="57"/>
        <v>Promoted</v>
      </c>
      <c r="L625" t="str">
        <f t="shared" si="58"/>
        <v>Known Employee</v>
      </c>
      <c r="M625">
        <f t="shared" si="60"/>
        <v>5</v>
      </c>
      <c r="N625" t="str">
        <f t="shared" si="59"/>
        <v>March</v>
      </c>
    </row>
    <row r="626" spans="1:14" x14ac:dyDescent="0.3">
      <c r="A626" s="2" t="s">
        <v>1468</v>
      </c>
      <c r="B626" t="s">
        <v>1470</v>
      </c>
      <c r="C626" s="2" t="s">
        <v>35</v>
      </c>
      <c r="D626" s="2" t="s">
        <v>44</v>
      </c>
      <c r="E626" s="2" t="s">
        <v>158</v>
      </c>
      <c r="F626" s="2" t="s">
        <v>65</v>
      </c>
      <c r="G626" s="3">
        <v>512.04999999999995</v>
      </c>
      <c r="H626" s="1" t="s">
        <v>1469</v>
      </c>
      <c r="I626">
        <f t="shared" si="55"/>
        <v>3</v>
      </c>
      <c r="J626" t="str">
        <f t="shared" si="56"/>
        <v>Holi</v>
      </c>
      <c r="K626" t="str">
        <f t="shared" si="57"/>
        <v>Promoted</v>
      </c>
      <c r="L626" t="str">
        <f t="shared" si="58"/>
        <v>Known Employee</v>
      </c>
      <c r="M626">
        <f t="shared" si="60"/>
        <v>2</v>
      </c>
      <c r="N626" t="str">
        <f t="shared" si="59"/>
        <v>March</v>
      </c>
    </row>
    <row r="627" spans="1:14" x14ac:dyDescent="0.3">
      <c r="A627" s="2" t="s">
        <v>175</v>
      </c>
      <c r="B627" t="s">
        <v>177</v>
      </c>
      <c r="C627" s="2" t="s">
        <v>18</v>
      </c>
      <c r="D627" s="2" t="s">
        <v>23</v>
      </c>
      <c r="E627" s="2" t="s">
        <v>24</v>
      </c>
      <c r="F627" s="2" t="s">
        <v>65</v>
      </c>
      <c r="G627" s="3">
        <v>72</v>
      </c>
      <c r="H627" s="1" t="s">
        <v>176</v>
      </c>
      <c r="I627">
        <f t="shared" si="55"/>
        <v>3</v>
      </c>
      <c r="J627" t="str">
        <f t="shared" si="56"/>
        <v>Holi</v>
      </c>
      <c r="K627" t="str">
        <f t="shared" si="57"/>
        <v>Promoted</v>
      </c>
      <c r="L627" t="str">
        <f t="shared" si="58"/>
        <v>Known Employee</v>
      </c>
      <c r="M627">
        <f t="shared" si="60"/>
        <v>5</v>
      </c>
      <c r="N627" t="str">
        <f t="shared" si="59"/>
        <v>March</v>
      </c>
    </row>
    <row r="628" spans="1:14" x14ac:dyDescent="0.3">
      <c r="A628" s="2" t="s">
        <v>1394</v>
      </c>
      <c r="B628" t="s">
        <v>381</v>
      </c>
      <c r="C628" s="2" t="s">
        <v>18</v>
      </c>
      <c r="D628" s="2" t="s">
        <v>295</v>
      </c>
      <c r="E628" s="2" t="s">
        <v>13</v>
      </c>
      <c r="F628" s="2" t="s">
        <v>40</v>
      </c>
      <c r="G628" s="3">
        <v>628</v>
      </c>
      <c r="H628" s="1" t="s">
        <v>1395</v>
      </c>
      <c r="I628">
        <f t="shared" si="55"/>
        <v>3</v>
      </c>
      <c r="J628" t="str">
        <f t="shared" si="56"/>
        <v>Holi</v>
      </c>
      <c r="K628" t="str">
        <f t="shared" si="57"/>
        <v>Promoted</v>
      </c>
      <c r="L628" t="str">
        <f t="shared" si="58"/>
        <v>Known Employee</v>
      </c>
      <c r="M628">
        <f t="shared" si="60"/>
        <v>5</v>
      </c>
      <c r="N628" t="str">
        <f t="shared" si="59"/>
        <v>March</v>
      </c>
    </row>
    <row r="629" spans="1:14" x14ac:dyDescent="0.3">
      <c r="A629" s="2" t="s">
        <v>338</v>
      </c>
      <c r="B629" t="s">
        <v>188</v>
      </c>
      <c r="C629" s="2" t="s">
        <v>35</v>
      </c>
      <c r="D629" s="2" t="s">
        <v>340</v>
      </c>
      <c r="E629" s="2" t="s">
        <v>24</v>
      </c>
      <c r="F629" s="2" t="s">
        <v>65</v>
      </c>
      <c r="G629" s="3">
        <v>49.5</v>
      </c>
      <c r="H629" s="1" t="s">
        <v>339</v>
      </c>
      <c r="I629">
        <f t="shared" si="55"/>
        <v>3</v>
      </c>
      <c r="J629" t="str">
        <f t="shared" si="56"/>
        <v>Holi</v>
      </c>
      <c r="K629" t="str">
        <f t="shared" si="57"/>
        <v>Promoted</v>
      </c>
      <c r="L629" t="str">
        <f t="shared" si="58"/>
        <v>Known Employee</v>
      </c>
      <c r="M629">
        <f t="shared" si="60"/>
        <v>5</v>
      </c>
      <c r="N629" t="str">
        <f t="shared" si="59"/>
        <v>March</v>
      </c>
    </row>
    <row r="630" spans="1:14" x14ac:dyDescent="0.3">
      <c r="A630" s="2" t="s">
        <v>645</v>
      </c>
      <c r="B630" t="s">
        <v>647</v>
      </c>
      <c r="C630" s="2" t="s">
        <v>53</v>
      </c>
      <c r="D630" s="2" t="s">
        <v>138</v>
      </c>
      <c r="E630" s="2" t="s">
        <v>24</v>
      </c>
      <c r="F630" s="2" t="s">
        <v>1945</v>
      </c>
      <c r="G630" s="3">
        <v>540.9</v>
      </c>
      <c r="H630" s="1" t="s">
        <v>646</v>
      </c>
      <c r="I630">
        <f t="shared" si="55"/>
        <v>3</v>
      </c>
      <c r="J630" t="str">
        <f t="shared" si="56"/>
        <v>Holi</v>
      </c>
      <c r="K630" t="str">
        <f t="shared" si="57"/>
        <v>Promoted</v>
      </c>
      <c r="L630" t="str">
        <f t="shared" si="58"/>
        <v>Known Employee</v>
      </c>
      <c r="M630">
        <f t="shared" si="60"/>
        <v>3</v>
      </c>
      <c r="N630" t="str">
        <f t="shared" si="59"/>
        <v>March</v>
      </c>
    </row>
    <row r="631" spans="1:14" x14ac:dyDescent="0.3">
      <c r="A631" s="2" t="s">
        <v>521</v>
      </c>
      <c r="B631" t="s">
        <v>523</v>
      </c>
      <c r="C631" s="2" t="s">
        <v>29</v>
      </c>
      <c r="D631" s="2" t="s">
        <v>168</v>
      </c>
      <c r="E631" s="2" t="s">
        <v>13</v>
      </c>
      <c r="F631" s="2" t="s">
        <v>14</v>
      </c>
      <c r="G631" s="3">
        <v>242</v>
      </c>
      <c r="H631" s="1" t="s">
        <v>522</v>
      </c>
      <c r="I631">
        <f t="shared" si="55"/>
        <v>3</v>
      </c>
      <c r="J631" t="str">
        <f t="shared" si="56"/>
        <v>Holi</v>
      </c>
      <c r="K631" t="str">
        <f t="shared" si="57"/>
        <v>Promoted</v>
      </c>
      <c r="L631" t="str">
        <f t="shared" si="58"/>
        <v>Known Employee</v>
      </c>
      <c r="M631">
        <f t="shared" si="60"/>
        <v>3</v>
      </c>
      <c r="N631" t="str">
        <f t="shared" si="59"/>
        <v>March</v>
      </c>
    </row>
    <row r="632" spans="1:14" x14ac:dyDescent="0.3">
      <c r="A632" s="2" t="s">
        <v>1291</v>
      </c>
      <c r="B632" t="s">
        <v>825</v>
      </c>
      <c r="C632" s="2" t="s">
        <v>29</v>
      </c>
      <c r="D632" s="2" t="s">
        <v>168</v>
      </c>
      <c r="E632" s="2" t="s">
        <v>13</v>
      </c>
      <c r="F632" s="2" t="s">
        <v>14</v>
      </c>
      <c r="G632" s="3">
        <v>469</v>
      </c>
      <c r="H632" s="1" t="s">
        <v>1176</v>
      </c>
      <c r="I632">
        <f t="shared" si="55"/>
        <v>3</v>
      </c>
      <c r="J632" t="str">
        <f t="shared" si="56"/>
        <v>Holi</v>
      </c>
      <c r="K632" t="str">
        <f t="shared" si="57"/>
        <v>Promoted</v>
      </c>
      <c r="L632" t="str">
        <f t="shared" si="58"/>
        <v>Known Employee</v>
      </c>
      <c r="M632">
        <f t="shared" si="60"/>
        <v>4</v>
      </c>
      <c r="N632" t="str">
        <f t="shared" si="59"/>
        <v>March</v>
      </c>
    </row>
    <row r="633" spans="1:14" x14ac:dyDescent="0.3">
      <c r="A633" s="2" t="s">
        <v>1175</v>
      </c>
      <c r="B633" t="s">
        <v>227</v>
      </c>
      <c r="C633" s="2" t="s">
        <v>29</v>
      </c>
      <c r="D633" s="2" t="s">
        <v>168</v>
      </c>
      <c r="E633" s="2" t="s">
        <v>13</v>
      </c>
      <c r="F633" s="2" t="s">
        <v>40</v>
      </c>
      <c r="G633" s="3">
        <v>195</v>
      </c>
      <c r="H633" s="1" t="s">
        <v>1176</v>
      </c>
      <c r="I633">
        <f t="shared" si="55"/>
        <v>3</v>
      </c>
      <c r="J633" t="str">
        <f t="shared" si="56"/>
        <v>Holi</v>
      </c>
      <c r="K633" t="str">
        <f t="shared" si="57"/>
        <v>Promoted</v>
      </c>
      <c r="L633" t="str">
        <f t="shared" si="58"/>
        <v>Known Employee</v>
      </c>
      <c r="M633">
        <f t="shared" si="60"/>
        <v>8</v>
      </c>
      <c r="N633" t="str">
        <f t="shared" si="59"/>
        <v>March</v>
      </c>
    </row>
    <row r="634" spans="1:14" x14ac:dyDescent="0.3">
      <c r="A634" s="2" t="s">
        <v>1622</v>
      </c>
      <c r="B634" t="s">
        <v>743</v>
      </c>
      <c r="C634" s="2" t="s">
        <v>35</v>
      </c>
      <c r="D634" s="2" t="s">
        <v>340</v>
      </c>
      <c r="E634" s="2" t="s">
        <v>13</v>
      </c>
      <c r="F634" s="2" t="s">
        <v>65</v>
      </c>
      <c r="G634" s="3">
        <v>270</v>
      </c>
      <c r="H634" s="1" t="s">
        <v>783</v>
      </c>
      <c r="I634">
        <f t="shared" si="55"/>
        <v>3</v>
      </c>
      <c r="J634" t="str">
        <f t="shared" si="56"/>
        <v>Holi</v>
      </c>
      <c r="K634" t="str">
        <f t="shared" si="57"/>
        <v>Promoted</v>
      </c>
      <c r="L634" t="str">
        <f t="shared" si="58"/>
        <v>Known Employee</v>
      </c>
      <c r="M634">
        <f t="shared" si="60"/>
        <v>4</v>
      </c>
      <c r="N634" t="str">
        <f t="shared" si="59"/>
        <v>March</v>
      </c>
    </row>
    <row r="635" spans="1:14" x14ac:dyDescent="0.3">
      <c r="A635" s="2" t="s">
        <v>782</v>
      </c>
      <c r="B635" t="s">
        <v>188</v>
      </c>
      <c r="C635" s="2" t="s">
        <v>53</v>
      </c>
      <c r="D635" s="2" t="s">
        <v>104</v>
      </c>
      <c r="E635" s="2" t="s">
        <v>13</v>
      </c>
      <c r="F635" s="2" t="s">
        <v>144</v>
      </c>
      <c r="G635" s="3">
        <v>500</v>
      </c>
      <c r="H635" s="1" t="s">
        <v>783</v>
      </c>
      <c r="I635">
        <f t="shared" si="55"/>
        <v>3</v>
      </c>
      <c r="J635" t="str">
        <f t="shared" si="56"/>
        <v>Holi</v>
      </c>
      <c r="K635" t="str">
        <f t="shared" si="57"/>
        <v>Promoted</v>
      </c>
      <c r="L635" t="str">
        <f t="shared" si="58"/>
        <v>Known Employee</v>
      </c>
      <c r="M635">
        <f t="shared" si="60"/>
        <v>5</v>
      </c>
      <c r="N635" t="str">
        <f t="shared" si="59"/>
        <v>March</v>
      </c>
    </row>
    <row r="636" spans="1:14" x14ac:dyDescent="0.3">
      <c r="A636" s="2" t="s">
        <v>1400</v>
      </c>
      <c r="B636" t="s">
        <v>425</v>
      </c>
      <c r="C636" s="2" t="s">
        <v>18</v>
      </c>
      <c r="D636" s="2" t="s">
        <v>23</v>
      </c>
      <c r="E636" s="2" t="s">
        <v>24</v>
      </c>
      <c r="F636" s="2" t="s">
        <v>25</v>
      </c>
      <c r="G636" s="3">
        <v>495.9</v>
      </c>
      <c r="H636" s="1" t="s">
        <v>1401</v>
      </c>
      <c r="I636">
        <f t="shared" si="55"/>
        <v>3</v>
      </c>
      <c r="J636" t="str">
        <f t="shared" si="56"/>
        <v>Holi</v>
      </c>
      <c r="K636" t="str">
        <f t="shared" si="57"/>
        <v>Promoted</v>
      </c>
      <c r="L636" t="str">
        <f t="shared" si="58"/>
        <v>Known Employee</v>
      </c>
      <c r="M636">
        <f t="shared" si="60"/>
        <v>7</v>
      </c>
      <c r="N636" t="str">
        <f t="shared" si="59"/>
        <v>March</v>
      </c>
    </row>
    <row r="637" spans="1:14" x14ac:dyDescent="0.3">
      <c r="A637" s="2" t="s">
        <v>555</v>
      </c>
      <c r="B637" t="s">
        <v>366</v>
      </c>
      <c r="C637" s="2" t="s">
        <v>35</v>
      </c>
      <c r="D637" s="2" t="s">
        <v>108</v>
      </c>
      <c r="E637" s="2" t="s">
        <v>13</v>
      </c>
      <c r="F637" s="2" t="s">
        <v>40</v>
      </c>
      <c r="G637" s="3">
        <v>370</v>
      </c>
      <c r="H637" s="1" t="s">
        <v>556</v>
      </c>
      <c r="I637">
        <f t="shared" si="55"/>
        <v>3</v>
      </c>
      <c r="J637" t="str">
        <f t="shared" si="56"/>
        <v>Holi</v>
      </c>
      <c r="K637" t="str">
        <f t="shared" si="57"/>
        <v>Promoted</v>
      </c>
      <c r="L637" t="str">
        <f t="shared" si="58"/>
        <v>Known Employee</v>
      </c>
      <c r="M637">
        <f t="shared" si="60"/>
        <v>3</v>
      </c>
      <c r="N637" t="str">
        <f t="shared" si="59"/>
        <v>March</v>
      </c>
    </row>
    <row r="638" spans="1:14" x14ac:dyDescent="0.3">
      <c r="A638" s="2" t="s">
        <v>626</v>
      </c>
      <c r="B638" t="s">
        <v>303</v>
      </c>
      <c r="C638" s="2" t="s">
        <v>18</v>
      </c>
      <c r="D638" s="2" t="s">
        <v>12</v>
      </c>
      <c r="E638" s="2" t="s">
        <v>13</v>
      </c>
      <c r="F638" s="2" t="s">
        <v>40</v>
      </c>
      <c r="G638" s="3">
        <v>220</v>
      </c>
      <c r="H638" s="1" t="s">
        <v>627</v>
      </c>
      <c r="I638">
        <f t="shared" si="55"/>
        <v>4</v>
      </c>
      <c r="J638" t="str">
        <f t="shared" si="56"/>
        <v>Regular</v>
      </c>
      <c r="K638" t="str">
        <f t="shared" si="57"/>
        <v>Promoted</v>
      </c>
      <c r="L638" t="str">
        <f t="shared" si="58"/>
        <v>Known Employee</v>
      </c>
      <c r="M638">
        <f t="shared" si="60"/>
        <v>7</v>
      </c>
      <c r="N638" t="str">
        <f t="shared" si="59"/>
        <v>April</v>
      </c>
    </row>
    <row r="639" spans="1:14" x14ac:dyDescent="0.3">
      <c r="A639" s="2" t="s">
        <v>535</v>
      </c>
      <c r="B639" t="s">
        <v>230</v>
      </c>
      <c r="C639" s="2" t="s">
        <v>35</v>
      </c>
      <c r="D639" s="2" t="s">
        <v>44</v>
      </c>
      <c r="E639" s="2" t="s">
        <v>24</v>
      </c>
      <c r="F639" s="2" t="s">
        <v>40</v>
      </c>
      <c r="G639" s="3">
        <v>122.4</v>
      </c>
      <c r="H639" s="1" t="s">
        <v>536</v>
      </c>
      <c r="I639">
        <f t="shared" si="55"/>
        <v>4</v>
      </c>
      <c r="J639" t="str">
        <f t="shared" si="56"/>
        <v>Regular</v>
      </c>
      <c r="K639" t="str">
        <f t="shared" si="57"/>
        <v>Promoted</v>
      </c>
      <c r="L639" t="str">
        <f t="shared" si="58"/>
        <v>Known Employee</v>
      </c>
      <c r="M639">
        <f t="shared" si="60"/>
        <v>6</v>
      </c>
      <c r="N639" t="str">
        <f t="shared" si="59"/>
        <v>April</v>
      </c>
    </row>
    <row r="640" spans="1:14" x14ac:dyDescent="0.3">
      <c r="A640" s="2" t="s">
        <v>1517</v>
      </c>
      <c r="B640" t="s">
        <v>227</v>
      </c>
      <c r="C640" s="2" t="s">
        <v>35</v>
      </c>
      <c r="D640" s="2" t="s">
        <v>44</v>
      </c>
      <c r="E640" s="2" t="s">
        <v>64</v>
      </c>
      <c r="F640" s="2" t="s">
        <v>14</v>
      </c>
      <c r="G640" s="3">
        <v>310</v>
      </c>
      <c r="H640" s="1" t="s">
        <v>1518</v>
      </c>
      <c r="I640">
        <f t="shared" si="55"/>
        <v>4</v>
      </c>
      <c r="J640" t="str">
        <f t="shared" si="56"/>
        <v>Regular</v>
      </c>
      <c r="K640" t="str">
        <f t="shared" si="57"/>
        <v>Promoted</v>
      </c>
      <c r="L640" t="str">
        <f t="shared" si="58"/>
        <v>Known Employee</v>
      </c>
      <c r="M640">
        <f t="shared" si="60"/>
        <v>8</v>
      </c>
      <c r="N640" t="str">
        <f t="shared" si="59"/>
        <v>April</v>
      </c>
    </row>
    <row r="641" spans="1:14" x14ac:dyDescent="0.3">
      <c r="A641" s="2" t="s">
        <v>862</v>
      </c>
      <c r="B641" t="s">
        <v>460</v>
      </c>
      <c r="C641" s="2" t="s">
        <v>53</v>
      </c>
      <c r="D641" s="2" t="s">
        <v>83</v>
      </c>
      <c r="E641" s="2" t="s">
        <v>13</v>
      </c>
      <c r="F641" s="2" t="s">
        <v>25</v>
      </c>
      <c r="G641" s="3">
        <v>455</v>
      </c>
      <c r="H641" s="1" t="s">
        <v>863</v>
      </c>
      <c r="I641">
        <f t="shared" si="55"/>
        <v>4</v>
      </c>
      <c r="J641" t="str">
        <f t="shared" si="56"/>
        <v>Regular</v>
      </c>
      <c r="K641" t="str">
        <f t="shared" si="57"/>
        <v>Promoted</v>
      </c>
      <c r="L641" t="str">
        <f t="shared" si="58"/>
        <v>Known Employee</v>
      </c>
      <c r="M641">
        <f t="shared" si="60"/>
        <v>4</v>
      </c>
      <c r="N641" t="str">
        <f t="shared" si="59"/>
        <v>April</v>
      </c>
    </row>
    <row r="642" spans="1:14" x14ac:dyDescent="0.3">
      <c r="A642" s="2" t="s">
        <v>1355</v>
      </c>
      <c r="B642" t="s">
        <v>343</v>
      </c>
      <c r="C642" s="2" t="s">
        <v>53</v>
      </c>
      <c r="D642" s="2" t="s">
        <v>104</v>
      </c>
      <c r="E642" s="2" t="s">
        <v>24</v>
      </c>
      <c r="F642" s="2" t="s">
        <v>65</v>
      </c>
      <c r="G642" s="3">
        <v>72</v>
      </c>
      <c r="H642" s="1" t="s">
        <v>863</v>
      </c>
      <c r="I642">
        <f t="shared" ref="I642:I705" si="61">MONTH(H642)</f>
        <v>4</v>
      </c>
      <c r="J642" t="str">
        <f t="shared" ref="J642:J705" si="62">IF(OR(I642=10,I642=11),"Diwali",IF(I642=9,"Navratri",IF(I642=8,"Rakshabandhan",IF(I642=3,"Holi",IF(I642=1,"Makar Sankranti","Regular")))))</f>
        <v>Regular</v>
      </c>
      <c r="K642" t="str">
        <f t="shared" ref="K642:K705" si="63" xml:space="preserve"> IF(E642="No Promotion", "Not Promoted", "Promoted")</f>
        <v>Promoted</v>
      </c>
      <c r="L642" t="str">
        <f t="shared" ref="L642:L705" si="64" xml:space="preserve"> IF(D642="Unknown","Employee","Known Employee")</f>
        <v>Known Employee</v>
      </c>
      <c r="M642">
        <f t="shared" si="60"/>
        <v>7</v>
      </c>
      <c r="N642" t="str">
        <f t="shared" si="59"/>
        <v>April</v>
      </c>
    </row>
    <row r="643" spans="1:14" x14ac:dyDescent="0.3">
      <c r="A643" s="2" t="s">
        <v>1941</v>
      </c>
      <c r="B643" t="s">
        <v>107</v>
      </c>
      <c r="C643" s="2" t="s">
        <v>35</v>
      </c>
      <c r="D643" s="2" t="s">
        <v>340</v>
      </c>
      <c r="E643" s="2" t="s">
        <v>13</v>
      </c>
      <c r="F643" s="2" t="s">
        <v>65</v>
      </c>
      <c r="G643" s="3">
        <v>670</v>
      </c>
      <c r="H643" s="1" t="s">
        <v>1492</v>
      </c>
      <c r="I643">
        <f t="shared" si="61"/>
        <v>4</v>
      </c>
      <c r="J643" t="str">
        <f t="shared" si="62"/>
        <v>Regular</v>
      </c>
      <c r="K643" t="str">
        <f t="shared" si="63"/>
        <v>Promoted</v>
      </c>
      <c r="L643" t="str">
        <f t="shared" si="64"/>
        <v>Known Employee</v>
      </c>
      <c r="M643">
        <f t="shared" si="60"/>
        <v>5</v>
      </c>
      <c r="N643" t="str">
        <f t="shared" ref="N643:N706" si="65">TEXT(DATE(2000, I643, 1), "mmmm")</f>
        <v>April</v>
      </c>
    </row>
    <row r="644" spans="1:14" x14ac:dyDescent="0.3">
      <c r="A644" s="2" t="s">
        <v>1491</v>
      </c>
      <c r="B644" t="s">
        <v>349</v>
      </c>
      <c r="C644" s="2" t="s">
        <v>35</v>
      </c>
      <c r="D644" s="2" t="s">
        <v>340</v>
      </c>
      <c r="E644" s="2" t="s">
        <v>158</v>
      </c>
      <c r="F644" s="2" t="s">
        <v>1945</v>
      </c>
      <c r="G644" s="3">
        <v>850.25</v>
      </c>
      <c r="H644" s="1" t="s">
        <v>1492</v>
      </c>
      <c r="I644">
        <f t="shared" si="61"/>
        <v>4</v>
      </c>
      <c r="J644" t="str">
        <f t="shared" si="62"/>
        <v>Regular</v>
      </c>
      <c r="K644" t="str">
        <f t="shared" si="63"/>
        <v>Promoted</v>
      </c>
      <c r="L644" t="str">
        <f t="shared" si="64"/>
        <v>Known Employee</v>
      </c>
      <c r="M644">
        <f t="shared" si="60"/>
        <v>6</v>
      </c>
      <c r="N644" t="str">
        <f t="shared" si="65"/>
        <v>April</v>
      </c>
    </row>
    <row r="645" spans="1:14" x14ac:dyDescent="0.3">
      <c r="A645" s="2" t="s">
        <v>1312</v>
      </c>
      <c r="B645" t="s">
        <v>437</v>
      </c>
      <c r="C645" s="2" t="s">
        <v>35</v>
      </c>
      <c r="D645" s="2" t="s">
        <v>44</v>
      </c>
      <c r="E645" s="2" t="s">
        <v>13</v>
      </c>
      <c r="F645" s="2" t="s">
        <v>268</v>
      </c>
      <c r="G645" s="3">
        <v>174</v>
      </c>
      <c r="H645" s="1" t="s">
        <v>670</v>
      </c>
      <c r="I645">
        <f t="shared" si="61"/>
        <v>4</v>
      </c>
      <c r="J645" t="str">
        <f t="shared" si="62"/>
        <v>Regular</v>
      </c>
      <c r="K645" t="str">
        <f t="shared" si="63"/>
        <v>Promoted</v>
      </c>
      <c r="L645" t="str">
        <f t="shared" si="64"/>
        <v>Known Employee</v>
      </c>
      <c r="M645">
        <f t="shared" si="60"/>
        <v>5</v>
      </c>
      <c r="N645" t="str">
        <f t="shared" si="65"/>
        <v>April</v>
      </c>
    </row>
    <row r="646" spans="1:14" x14ac:dyDescent="0.3">
      <c r="A646" s="2" t="s">
        <v>669</v>
      </c>
      <c r="B646" t="s">
        <v>671</v>
      </c>
      <c r="C646" s="2" t="s">
        <v>29</v>
      </c>
      <c r="D646" s="2" t="s">
        <v>30</v>
      </c>
      <c r="E646" s="2" t="s">
        <v>13</v>
      </c>
      <c r="F646" s="2" t="s">
        <v>65</v>
      </c>
      <c r="G646" s="3">
        <v>65</v>
      </c>
      <c r="H646" s="1" t="s">
        <v>670</v>
      </c>
      <c r="I646">
        <f t="shared" si="61"/>
        <v>4</v>
      </c>
      <c r="J646" t="str">
        <f t="shared" si="62"/>
        <v>Regular</v>
      </c>
      <c r="K646" t="str">
        <f t="shared" si="63"/>
        <v>Promoted</v>
      </c>
      <c r="L646" t="str">
        <f t="shared" si="64"/>
        <v>Known Employee</v>
      </c>
      <c r="M646">
        <f t="shared" si="60"/>
        <v>6</v>
      </c>
      <c r="N646" t="str">
        <f t="shared" si="65"/>
        <v>April</v>
      </c>
    </row>
    <row r="647" spans="1:14" x14ac:dyDescent="0.3">
      <c r="A647" s="2" t="s">
        <v>1657</v>
      </c>
      <c r="B647" t="s">
        <v>22</v>
      </c>
      <c r="C647" s="2" t="s">
        <v>29</v>
      </c>
      <c r="D647" s="2" t="s">
        <v>168</v>
      </c>
      <c r="E647" s="2" t="s">
        <v>13</v>
      </c>
      <c r="F647" s="2" t="s">
        <v>14</v>
      </c>
      <c r="G647" s="3">
        <v>300</v>
      </c>
      <c r="H647" s="1" t="s">
        <v>1658</v>
      </c>
      <c r="I647">
        <f t="shared" si="61"/>
        <v>4</v>
      </c>
      <c r="J647" t="str">
        <f t="shared" si="62"/>
        <v>Regular</v>
      </c>
      <c r="K647" t="str">
        <f t="shared" si="63"/>
        <v>Promoted</v>
      </c>
      <c r="L647" t="str">
        <f t="shared" si="64"/>
        <v>Known Employee</v>
      </c>
      <c r="M647">
        <f t="shared" si="60"/>
        <v>6</v>
      </c>
      <c r="N647" t="str">
        <f t="shared" si="65"/>
        <v>April</v>
      </c>
    </row>
    <row r="648" spans="1:14" x14ac:dyDescent="0.3">
      <c r="A648" s="2" t="s">
        <v>762</v>
      </c>
      <c r="B648" t="s">
        <v>594</v>
      </c>
      <c r="C648" s="2" t="s">
        <v>18</v>
      </c>
      <c r="D648" s="2" t="s">
        <v>295</v>
      </c>
      <c r="E648" s="2" t="s">
        <v>13</v>
      </c>
      <c r="F648" s="2" t="s">
        <v>25</v>
      </c>
      <c r="G648" s="3">
        <v>70</v>
      </c>
      <c r="H648" s="1" t="s">
        <v>763</v>
      </c>
      <c r="I648">
        <f t="shared" si="61"/>
        <v>4</v>
      </c>
      <c r="J648" t="str">
        <f t="shared" si="62"/>
        <v>Regular</v>
      </c>
      <c r="K648" t="str">
        <f t="shared" si="63"/>
        <v>Promoted</v>
      </c>
      <c r="L648" t="str">
        <f t="shared" si="64"/>
        <v>Known Employee</v>
      </c>
      <c r="M648">
        <f t="shared" si="60"/>
        <v>4</v>
      </c>
      <c r="N648" t="str">
        <f t="shared" si="65"/>
        <v>April</v>
      </c>
    </row>
    <row r="649" spans="1:14" x14ac:dyDescent="0.3">
      <c r="A649" s="2" t="s">
        <v>1282</v>
      </c>
      <c r="B649" t="s">
        <v>28</v>
      </c>
      <c r="C649" s="2" t="s">
        <v>35</v>
      </c>
      <c r="D649" s="2" t="s">
        <v>44</v>
      </c>
      <c r="E649" s="2" t="s">
        <v>13</v>
      </c>
      <c r="F649" s="2" t="s">
        <v>25</v>
      </c>
      <c r="G649" s="3">
        <v>185</v>
      </c>
      <c r="H649" s="1" t="s">
        <v>1283</v>
      </c>
      <c r="I649">
        <f t="shared" si="61"/>
        <v>4</v>
      </c>
      <c r="J649" t="str">
        <f t="shared" si="62"/>
        <v>Regular</v>
      </c>
      <c r="K649" t="str">
        <f t="shared" si="63"/>
        <v>Promoted</v>
      </c>
      <c r="L649" t="str">
        <f t="shared" si="64"/>
        <v>Known Employee</v>
      </c>
      <c r="M649">
        <f t="shared" si="60"/>
        <v>4</v>
      </c>
      <c r="N649" t="str">
        <f t="shared" si="65"/>
        <v>April</v>
      </c>
    </row>
    <row r="650" spans="1:14" x14ac:dyDescent="0.3">
      <c r="A650" s="2" t="s">
        <v>895</v>
      </c>
      <c r="B650" t="s">
        <v>319</v>
      </c>
      <c r="C650" s="2" t="s">
        <v>35</v>
      </c>
      <c r="D650" s="2" t="s">
        <v>340</v>
      </c>
      <c r="E650" s="2" t="s">
        <v>54</v>
      </c>
      <c r="F650" s="2" t="s">
        <v>40</v>
      </c>
      <c r="G650" s="3">
        <v>42.5</v>
      </c>
      <c r="H650" s="1" t="s">
        <v>896</v>
      </c>
      <c r="I650">
        <f t="shared" si="61"/>
        <v>4</v>
      </c>
      <c r="J650" t="str">
        <f t="shared" si="62"/>
        <v>Regular</v>
      </c>
      <c r="K650" t="str">
        <f t="shared" si="63"/>
        <v>Promoted</v>
      </c>
      <c r="L650" t="str">
        <f t="shared" si="64"/>
        <v>Known Employee</v>
      </c>
      <c r="M650">
        <f t="shared" ref="M650:M713" si="66">COUNTIF($B$1:$B$805, B650)</f>
        <v>6</v>
      </c>
      <c r="N650" t="str">
        <f t="shared" si="65"/>
        <v>April</v>
      </c>
    </row>
    <row r="651" spans="1:14" x14ac:dyDescent="0.3">
      <c r="A651" s="2" t="s">
        <v>1106</v>
      </c>
      <c r="B651" t="s">
        <v>366</v>
      </c>
      <c r="C651" s="2" t="s">
        <v>29</v>
      </c>
      <c r="D651" s="2" t="s">
        <v>49</v>
      </c>
      <c r="E651" s="2" t="s">
        <v>13</v>
      </c>
      <c r="F651" s="2" t="s">
        <v>25</v>
      </c>
      <c r="G651" s="3">
        <v>584</v>
      </c>
      <c r="H651" s="1" t="s">
        <v>1107</v>
      </c>
      <c r="I651">
        <f t="shared" si="61"/>
        <v>4</v>
      </c>
      <c r="J651" t="str">
        <f t="shared" si="62"/>
        <v>Regular</v>
      </c>
      <c r="K651" t="str">
        <f t="shared" si="63"/>
        <v>Promoted</v>
      </c>
      <c r="L651" t="str">
        <f t="shared" si="64"/>
        <v>Known Employee</v>
      </c>
      <c r="M651">
        <f t="shared" si="66"/>
        <v>3</v>
      </c>
      <c r="N651" t="str">
        <f t="shared" si="65"/>
        <v>April</v>
      </c>
    </row>
    <row r="652" spans="1:14" x14ac:dyDescent="0.3">
      <c r="A652" s="2" t="s">
        <v>1875</v>
      </c>
      <c r="B652" t="s">
        <v>122</v>
      </c>
      <c r="C652" s="2" t="s">
        <v>35</v>
      </c>
      <c r="D652" s="2" t="s">
        <v>340</v>
      </c>
      <c r="E652" s="2" t="s">
        <v>24</v>
      </c>
      <c r="F652" s="2" t="s">
        <v>25</v>
      </c>
      <c r="G652" s="3">
        <v>387</v>
      </c>
      <c r="H652" s="1" t="s">
        <v>1107</v>
      </c>
      <c r="I652">
        <f t="shared" si="61"/>
        <v>4</v>
      </c>
      <c r="J652" t="str">
        <f t="shared" si="62"/>
        <v>Regular</v>
      </c>
      <c r="K652" t="str">
        <f t="shared" si="63"/>
        <v>Promoted</v>
      </c>
      <c r="L652" t="str">
        <f t="shared" si="64"/>
        <v>Known Employee</v>
      </c>
      <c r="M652">
        <f t="shared" si="66"/>
        <v>6</v>
      </c>
      <c r="N652" t="str">
        <f t="shared" si="65"/>
        <v>April</v>
      </c>
    </row>
    <row r="653" spans="1:14" x14ac:dyDescent="0.3">
      <c r="A653" s="2" t="s">
        <v>1639</v>
      </c>
      <c r="B653" t="s">
        <v>143</v>
      </c>
      <c r="C653" s="2" t="s">
        <v>35</v>
      </c>
      <c r="D653" s="2" t="s">
        <v>72</v>
      </c>
      <c r="E653" s="2" t="s">
        <v>13</v>
      </c>
      <c r="F653" s="2" t="s">
        <v>14</v>
      </c>
      <c r="G653" s="3">
        <v>504</v>
      </c>
      <c r="H653" s="1" t="s">
        <v>1640</v>
      </c>
      <c r="I653">
        <f t="shared" si="61"/>
        <v>5</v>
      </c>
      <c r="J653" t="str">
        <f t="shared" si="62"/>
        <v>Regular</v>
      </c>
      <c r="K653" t="str">
        <f t="shared" si="63"/>
        <v>Promoted</v>
      </c>
      <c r="L653" t="str">
        <f t="shared" si="64"/>
        <v>Known Employee</v>
      </c>
      <c r="M653">
        <f t="shared" si="66"/>
        <v>3</v>
      </c>
      <c r="N653" t="str">
        <f t="shared" si="65"/>
        <v>May</v>
      </c>
    </row>
    <row r="654" spans="1:14" x14ac:dyDescent="0.3">
      <c r="A654" s="2" t="s">
        <v>1807</v>
      </c>
      <c r="B654" t="s">
        <v>474</v>
      </c>
      <c r="C654" s="2" t="s">
        <v>29</v>
      </c>
      <c r="D654" s="2" t="s">
        <v>168</v>
      </c>
      <c r="E654" s="2" t="s">
        <v>13</v>
      </c>
      <c r="F654" s="2" t="s">
        <v>14</v>
      </c>
      <c r="G654" s="3">
        <v>204</v>
      </c>
      <c r="H654" s="1" t="s">
        <v>1146</v>
      </c>
      <c r="I654">
        <f t="shared" si="61"/>
        <v>5</v>
      </c>
      <c r="J654" t="str">
        <f t="shared" si="62"/>
        <v>Regular</v>
      </c>
      <c r="K654" t="str">
        <f t="shared" si="63"/>
        <v>Promoted</v>
      </c>
      <c r="L654" t="str">
        <f t="shared" si="64"/>
        <v>Known Employee</v>
      </c>
      <c r="M654">
        <f t="shared" si="66"/>
        <v>3</v>
      </c>
      <c r="N654" t="str">
        <f t="shared" si="65"/>
        <v>May</v>
      </c>
    </row>
    <row r="655" spans="1:14" x14ac:dyDescent="0.3">
      <c r="A655" s="2" t="s">
        <v>1145</v>
      </c>
      <c r="B655" t="s">
        <v>506</v>
      </c>
      <c r="C655" s="2" t="s">
        <v>35</v>
      </c>
      <c r="D655" s="2" t="s">
        <v>140</v>
      </c>
      <c r="E655" s="2" t="s">
        <v>13</v>
      </c>
      <c r="F655" s="2" t="s">
        <v>25</v>
      </c>
      <c r="G655" s="3">
        <v>215</v>
      </c>
      <c r="H655" s="1" t="s">
        <v>1146</v>
      </c>
      <c r="I655">
        <f t="shared" si="61"/>
        <v>5</v>
      </c>
      <c r="J655" t="str">
        <f t="shared" si="62"/>
        <v>Regular</v>
      </c>
      <c r="K655" t="str">
        <f t="shared" si="63"/>
        <v>Promoted</v>
      </c>
      <c r="L655" t="str">
        <f t="shared" si="64"/>
        <v>Known Employee</v>
      </c>
      <c r="M655">
        <f t="shared" si="66"/>
        <v>4</v>
      </c>
      <c r="N655" t="str">
        <f t="shared" si="65"/>
        <v>May</v>
      </c>
    </row>
    <row r="656" spans="1:14" x14ac:dyDescent="0.3">
      <c r="A656" s="2" t="s">
        <v>1738</v>
      </c>
      <c r="B656" t="s">
        <v>57</v>
      </c>
      <c r="C656" s="2" t="s">
        <v>35</v>
      </c>
      <c r="D656" s="2" t="s">
        <v>72</v>
      </c>
      <c r="E656" s="2" t="s">
        <v>13</v>
      </c>
      <c r="F656" s="2" t="s">
        <v>25</v>
      </c>
      <c r="G656" s="3">
        <v>58</v>
      </c>
      <c r="H656" s="1" t="s">
        <v>1739</v>
      </c>
      <c r="I656">
        <f t="shared" si="61"/>
        <v>5</v>
      </c>
      <c r="J656" t="str">
        <f t="shared" si="62"/>
        <v>Regular</v>
      </c>
      <c r="K656" t="str">
        <f t="shared" si="63"/>
        <v>Promoted</v>
      </c>
      <c r="L656" t="str">
        <f t="shared" si="64"/>
        <v>Known Employee</v>
      </c>
      <c r="M656">
        <f t="shared" si="66"/>
        <v>8</v>
      </c>
      <c r="N656" t="str">
        <f t="shared" si="65"/>
        <v>May</v>
      </c>
    </row>
    <row r="657" spans="1:14" x14ac:dyDescent="0.3">
      <c r="A657" s="2" t="s">
        <v>813</v>
      </c>
      <c r="B657" t="s">
        <v>316</v>
      </c>
      <c r="C657" s="2" t="s">
        <v>29</v>
      </c>
      <c r="D657" s="2" t="s">
        <v>30</v>
      </c>
      <c r="E657" s="2" t="s">
        <v>13</v>
      </c>
      <c r="F657" s="2" t="s">
        <v>65</v>
      </c>
      <c r="G657" s="3">
        <v>510</v>
      </c>
      <c r="H657" s="1" t="s">
        <v>814</v>
      </c>
      <c r="I657">
        <f t="shared" si="61"/>
        <v>5</v>
      </c>
      <c r="J657" t="str">
        <f t="shared" si="62"/>
        <v>Regular</v>
      </c>
      <c r="K657" t="str">
        <f t="shared" si="63"/>
        <v>Promoted</v>
      </c>
      <c r="L657" t="str">
        <f t="shared" si="64"/>
        <v>Known Employee</v>
      </c>
      <c r="M657">
        <f t="shared" si="66"/>
        <v>4</v>
      </c>
      <c r="N657" t="str">
        <f t="shared" si="65"/>
        <v>May</v>
      </c>
    </row>
    <row r="658" spans="1:14" x14ac:dyDescent="0.3">
      <c r="A658" s="2" t="s">
        <v>797</v>
      </c>
      <c r="B658" t="s">
        <v>798</v>
      </c>
      <c r="C658" s="2" t="s">
        <v>29</v>
      </c>
      <c r="D658" s="2" t="s">
        <v>49</v>
      </c>
      <c r="E658" s="2" t="s">
        <v>64</v>
      </c>
      <c r="F658" s="2" t="s">
        <v>40</v>
      </c>
      <c r="G658" s="3">
        <v>260</v>
      </c>
      <c r="H658" s="1" t="s">
        <v>667</v>
      </c>
      <c r="I658">
        <f t="shared" si="61"/>
        <v>5</v>
      </c>
      <c r="J658" t="str">
        <f t="shared" si="62"/>
        <v>Regular</v>
      </c>
      <c r="K658" t="str">
        <f t="shared" si="63"/>
        <v>Promoted</v>
      </c>
      <c r="L658" t="str">
        <f t="shared" si="64"/>
        <v>Known Employee</v>
      </c>
      <c r="M658">
        <f t="shared" si="66"/>
        <v>6</v>
      </c>
      <c r="N658" t="str">
        <f t="shared" si="65"/>
        <v>May</v>
      </c>
    </row>
    <row r="659" spans="1:14" x14ac:dyDescent="0.3">
      <c r="A659" s="2" t="s">
        <v>1062</v>
      </c>
      <c r="B659" t="s">
        <v>107</v>
      </c>
      <c r="C659" s="2" t="s">
        <v>35</v>
      </c>
      <c r="D659" s="2" t="s">
        <v>340</v>
      </c>
      <c r="E659" s="2" t="s">
        <v>13</v>
      </c>
      <c r="F659" s="2" t="s">
        <v>14</v>
      </c>
      <c r="G659" s="3">
        <v>375</v>
      </c>
      <c r="H659" s="1" t="s">
        <v>1063</v>
      </c>
      <c r="I659">
        <f t="shared" si="61"/>
        <v>5</v>
      </c>
      <c r="J659" t="str">
        <f t="shared" si="62"/>
        <v>Regular</v>
      </c>
      <c r="K659" t="str">
        <f t="shared" si="63"/>
        <v>Promoted</v>
      </c>
      <c r="L659" t="str">
        <f t="shared" si="64"/>
        <v>Known Employee</v>
      </c>
      <c r="M659">
        <f t="shared" si="66"/>
        <v>5</v>
      </c>
      <c r="N659" t="str">
        <f t="shared" si="65"/>
        <v>May</v>
      </c>
    </row>
    <row r="660" spans="1:14" x14ac:dyDescent="0.3">
      <c r="A660" s="2" t="s">
        <v>1159</v>
      </c>
      <c r="B660" t="s">
        <v>1161</v>
      </c>
      <c r="C660" s="2" t="s">
        <v>18</v>
      </c>
      <c r="D660" s="2" t="s">
        <v>23</v>
      </c>
      <c r="E660" s="2" t="s">
        <v>24</v>
      </c>
      <c r="F660" s="2" t="s">
        <v>119</v>
      </c>
      <c r="G660" s="3">
        <v>135</v>
      </c>
      <c r="H660" s="1" t="s">
        <v>1160</v>
      </c>
      <c r="I660">
        <f t="shared" si="61"/>
        <v>5</v>
      </c>
      <c r="J660" t="str">
        <f t="shared" si="62"/>
        <v>Regular</v>
      </c>
      <c r="K660" t="str">
        <f t="shared" si="63"/>
        <v>Promoted</v>
      </c>
      <c r="L660" t="str">
        <f t="shared" si="64"/>
        <v>Known Employee</v>
      </c>
      <c r="M660">
        <f t="shared" si="66"/>
        <v>1</v>
      </c>
      <c r="N660" t="str">
        <f t="shared" si="65"/>
        <v>May</v>
      </c>
    </row>
    <row r="661" spans="1:14" x14ac:dyDescent="0.3">
      <c r="A661" s="2" t="s">
        <v>1616</v>
      </c>
      <c r="B661" t="s">
        <v>328</v>
      </c>
      <c r="C661" s="2" t="s">
        <v>35</v>
      </c>
      <c r="D661" s="2" t="s">
        <v>36</v>
      </c>
      <c r="E661" s="2" t="s">
        <v>13</v>
      </c>
      <c r="F661" s="2" t="s">
        <v>14</v>
      </c>
      <c r="G661" s="3">
        <v>60</v>
      </c>
      <c r="H661" s="1" t="s">
        <v>1261</v>
      </c>
      <c r="I661">
        <f t="shared" si="61"/>
        <v>5</v>
      </c>
      <c r="J661" t="str">
        <f t="shared" si="62"/>
        <v>Regular</v>
      </c>
      <c r="K661" t="str">
        <f t="shared" si="63"/>
        <v>Promoted</v>
      </c>
      <c r="L661" t="str">
        <f t="shared" si="64"/>
        <v>Known Employee</v>
      </c>
      <c r="M661">
        <f t="shared" si="66"/>
        <v>3</v>
      </c>
      <c r="N661" t="str">
        <f t="shared" si="65"/>
        <v>May</v>
      </c>
    </row>
    <row r="662" spans="1:14" x14ac:dyDescent="0.3">
      <c r="A662" s="2" t="s">
        <v>1260</v>
      </c>
      <c r="B662" t="s">
        <v>343</v>
      </c>
      <c r="C662" s="2" t="s">
        <v>35</v>
      </c>
      <c r="D662" s="2" t="s">
        <v>140</v>
      </c>
      <c r="E662" s="2" t="s">
        <v>158</v>
      </c>
      <c r="F662" s="2" t="s">
        <v>14</v>
      </c>
      <c r="G662" s="3">
        <v>114</v>
      </c>
      <c r="H662" s="1" t="s">
        <v>1261</v>
      </c>
      <c r="I662">
        <f t="shared" si="61"/>
        <v>5</v>
      </c>
      <c r="J662" t="str">
        <f t="shared" si="62"/>
        <v>Regular</v>
      </c>
      <c r="K662" t="str">
        <f t="shared" si="63"/>
        <v>Promoted</v>
      </c>
      <c r="L662" t="str">
        <f t="shared" si="64"/>
        <v>Known Employee</v>
      </c>
      <c r="M662">
        <f t="shared" si="66"/>
        <v>7</v>
      </c>
      <c r="N662" t="str">
        <f t="shared" si="65"/>
        <v>May</v>
      </c>
    </row>
    <row r="663" spans="1:14" x14ac:dyDescent="0.3">
      <c r="A663" s="2" t="s">
        <v>432</v>
      </c>
      <c r="B663" t="s">
        <v>252</v>
      </c>
      <c r="C663" s="2" t="s">
        <v>53</v>
      </c>
      <c r="D663" s="2" t="s">
        <v>83</v>
      </c>
      <c r="E663" s="2" t="s">
        <v>13</v>
      </c>
      <c r="F663" s="2" t="s">
        <v>40</v>
      </c>
      <c r="G663" s="3">
        <v>455</v>
      </c>
      <c r="H663" s="1" t="s">
        <v>433</v>
      </c>
      <c r="I663">
        <f t="shared" si="61"/>
        <v>5</v>
      </c>
      <c r="J663" t="str">
        <f t="shared" si="62"/>
        <v>Regular</v>
      </c>
      <c r="K663" t="str">
        <f t="shared" si="63"/>
        <v>Promoted</v>
      </c>
      <c r="L663" t="str">
        <f t="shared" si="64"/>
        <v>Known Employee</v>
      </c>
      <c r="M663">
        <f t="shared" si="66"/>
        <v>3</v>
      </c>
      <c r="N663" t="str">
        <f t="shared" si="65"/>
        <v>May</v>
      </c>
    </row>
    <row r="664" spans="1:14" x14ac:dyDescent="0.3">
      <c r="A664" s="2" t="s">
        <v>1525</v>
      </c>
      <c r="B664" t="s">
        <v>1527</v>
      </c>
      <c r="C664" s="2" t="s">
        <v>35</v>
      </c>
      <c r="D664" s="2" t="s">
        <v>1528</v>
      </c>
      <c r="E664" s="2" t="s">
        <v>13</v>
      </c>
      <c r="F664" s="2" t="s">
        <v>40</v>
      </c>
      <c r="G664" s="3">
        <v>630</v>
      </c>
      <c r="H664" s="1" t="s">
        <v>1526</v>
      </c>
      <c r="I664">
        <f t="shared" si="61"/>
        <v>5</v>
      </c>
      <c r="J664" t="str">
        <f t="shared" si="62"/>
        <v>Regular</v>
      </c>
      <c r="K664" t="str">
        <f t="shared" si="63"/>
        <v>Promoted</v>
      </c>
      <c r="L664" t="str">
        <f t="shared" si="64"/>
        <v>Known Employee</v>
      </c>
      <c r="M664">
        <f t="shared" si="66"/>
        <v>1</v>
      </c>
      <c r="N664" t="str">
        <f t="shared" si="65"/>
        <v>May</v>
      </c>
    </row>
    <row r="665" spans="1:14" x14ac:dyDescent="0.3">
      <c r="A665" s="2" t="s">
        <v>1132</v>
      </c>
      <c r="B665" t="s">
        <v>1070</v>
      </c>
      <c r="C665" s="2" t="s">
        <v>35</v>
      </c>
      <c r="D665" s="2" t="s">
        <v>72</v>
      </c>
      <c r="E665" s="2" t="s">
        <v>13</v>
      </c>
      <c r="F665" s="2" t="s">
        <v>25</v>
      </c>
      <c r="G665" s="3">
        <v>135</v>
      </c>
      <c r="H665" s="1" t="s">
        <v>272</v>
      </c>
      <c r="I665">
        <f t="shared" si="61"/>
        <v>5</v>
      </c>
      <c r="J665" t="str">
        <f t="shared" si="62"/>
        <v>Regular</v>
      </c>
      <c r="K665" t="str">
        <f t="shared" si="63"/>
        <v>Promoted</v>
      </c>
      <c r="L665" t="str">
        <f t="shared" si="64"/>
        <v>Known Employee</v>
      </c>
      <c r="M665">
        <f t="shared" si="66"/>
        <v>5</v>
      </c>
      <c r="N665" t="str">
        <f t="shared" si="65"/>
        <v>May</v>
      </c>
    </row>
    <row r="666" spans="1:14" x14ac:dyDescent="0.3">
      <c r="A666" s="2" t="s">
        <v>940</v>
      </c>
      <c r="B666" t="s">
        <v>267</v>
      </c>
      <c r="C666" s="2" t="s">
        <v>53</v>
      </c>
      <c r="D666" s="2" t="s">
        <v>83</v>
      </c>
      <c r="E666" s="2" t="s">
        <v>13</v>
      </c>
      <c r="F666" s="2" t="s">
        <v>40</v>
      </c>
      <c r="G666" s="3">
        <v>130</v>
      </c>
      <c r="H666" s="1" t="s">
        <v>941</v>
      </c>
      <c r="I666">
        <f t="shared" si="61"/>
        <v>5</v>
      </c>
      <c r="J666" t="str">
        <f t="shared" si="62"/>
        <v>Regular</v>
      </c>
      <c r="K666" t="str">
        <f t="shared" si="63"/>
        <v>Promoted</v>
      </c>
      <c r="L666" t="str">
        <f t="shared" si="64"/>
        <v>Known Employee</v>
      </c>
      <c r="M666">
        <f t="shared" si="66"/>
        <v>8</v>
      </c>
      <c r="N666" t="str">
        <f t="shared" si="65"/>
        <v>May</v>
      </c>
    </row>
    <row r="667" spans="1:14" x14ac:dyDescent="0.3">
      <c r="A667" s="2" t="s">
        <v>358</v>
      </c>
      <c r="B667" t="s">
        <v>360</v>
      </c>
      <c r="C667" s="2" t="s">
        <v>29</v>
      </c>
      <c r="D667" s="2" t="s">
        <v>123</v>
      </c>
      <c r="E667" s="2" t="s">
        <v>13</v>
      </c>
      <c r="F667" s="2" t="s">
        <v>65</v>
      </c>
      <c r="G667" s="3">
        <v>325</v>
      </c>
      <c r="H667" s="1" t="s">
        <v>941</v>
      </c>
      <c r="I667">
        <f t="shared" si="61"/>
        <v>5</v>
      </c>
      <c r="J667" t="str">
        <f t="shared" si="62"/>
        <v>Regular</v>
      </c>
      <c r="K667" t="str">
        <f t="shared" si="63"/>
        <v>Promoted</v>
      </c>
      <c r="L667" t="str">
        <f t="shared" si="64"/>
        <v>Known Employee</v>
      </c>
      <c r="M667">
        <f t="shared" si="66"/>
        <v>5</v>
      </c>
      <c r="N667" t="str">
        <f t="shared" si="65"/>
        <v>May</v>
      </c>
    </row>
    <row r="668" spans="1:14" x14ac:dyDescent="0.3">
      <c r="A668" s="2" t="s">
        <v>211</v>
      </c>
      <c r="B668" t="s">
        <v>213</v>
      </c>
      <c r="C668" s="2" t="s">
        <v>29</v>
      </c>
      <c r="D668" s="2" t="s">
        <v>200</v>
      </c>
      <c r="E668" s="2" t="s">
        <v>158</v>
      </c>
      <c r="F668" s="2" t="s">
        <v>40</v>
      </c>
      <c r="G668" s="3">
        <v>209</v>
      </c>
      <c r="H668" s="1" t="s">
        <v>212</v>
      </c>
      <c r="I668">
        <f t="shared" si="61"/>
        <v>5</v>
      </c>
      <c r="J668" t="str">
        <f t="shared" si="62"/>
        <v>Regular</v>
      </c>
      <c r="K668" t="str">
        <f t="shared" si="63"/>
        <v>Promoted</v>
      </c>
      <c r="L668" t="str">
        <f t="shared" si="64"/>
        <v>Known Employee</v>
      </c>
      <c r="M668">
        <f t="shared" si="66"/>
        <v>7</v>
      </c>
      <c r="N668" t="str">
        <f t="shared" si="65"/>
        <v>May</v>
      </c>
    </row>
    <row r="669" spans="1:14" x14ac:dyDescent="0.3">
      <c r="A669" s="2" t="s">
        <v>1078</v>
      </c>
      <c r="B669" t="s">
        <v>122</v>
      </c>
      <c r="C669" s="2" t="s">
        <v>29</v>
      </c>
      <c r="D669" s="2" t="s">
        <v>168</v>
      </c>
      <c r="E669" s="2" t="s">
        <v>13</v>
      </c>
      <c r="F669" s="2" t="s">
        <v>119</v>
      </c>
      <c r="G669" s="3">
        <v>210</v>
      </c>
      <c r="H669" s="1" t="s">
        <v>1079</v>
      </c>
      <c r="I669">
        <f t="shared" si="61"/>
        <v>5</v>
      </c>
      <c r="J669" t="str">
        <f t="shared" si="62"/>
        <v>Regular</v>
      </c>
      <c r="K669" t="str">
        <f t="shared" si="63"/>
        <v>Promoted</v>
      </c>
      <c r="L669" t="str">
        <f t="shared" si="64"/>
        <v>Known Employee</v>
      </c>
      <c r="M669">
        <f t="shared" si="66"/>
        <v>6</v>
      </c>
      <c r="N669" t="str">
        <f t="shared" si="65"/>
        <v>May</v>
      </c>
    </row>
    <row r="670" spans="1:14" x14ac:dyDescent="0.3">
      <c r="A670" s="2" t="s">
        <v>1643</v>
      </c>
      <c r="B670" t="s">
        <v>258</v>
      </c>
      <c r="C670" s="2" t="s">
        <v>18</v>
      </c>
      <c r="D670" s="2" t="s">
        <v>23</v>
      </c>
      <c r="E670" s="2" t="s">
        <v>13</v>
      </c>
      <c r="F670" s="2" t="s">
        <v>14</v>
      </c>
      <c r="G670" s="3">
        <v>100</v>
      </c>
      <c r="H670" s="1" t="s">
        <v>209</v>
      </c>
      <c r="I670">
        <f t="shared" si="61"/>
        <v>5</v>
      </c>
      <c r="J670" t="str">
        <f t="shared" si="62"/>
        <v>Regular</v>
      </c>
      <c r="K670" t="str">
        <f t="shared" si="63"/>
        <v>Promoted</v>
      </c>
      <c r="L670" t="str">
        <f t="shared" si="64"/>
        <v>Known Employee</v>
      </c>
      <c r="M670">
        <f t="shared" si="66"/>
        <v>8</v>
      </c>
      <c r="N670" t="str">
        <f t="shared" si="65"/>
        <v>May</v>
      </c>
    </row>
    <row r="671" spans="1:14" x14ac:dyDescent="0.3">
      <c r="A671" s="2" t="s">
        <v>201</v>
      </c>
      <c r="B671" t="s">
        <v>203</v>
      </c>
      <c r="C671" s="2" t="s">
        <v>29</v>
      </c>
      <c r="D671" s="2" t="s">
        <v>123</v>
      </c>
      <c r="E671" s="2" t="s">
        <v>158</v>
      </c>
      <c r="F671" s="2" t="s">
        <v>40</v>
      </c>
      <c r="G671" s="3">
        <v>457.9</v>
      </c>
      <c r="H671" s="1" t="s">
        <v>202</v>
      </c>
      <c r="I671">
        <f t="shared" si="61"/>
        <v>5</v>
      </c>
      <c r="J671" t="str">
        <f t="shared" si="62"/>
        <v>Regular</v>
      </c>
      <c r="K671" t="str">
        <f t="shared" si="63"/>
        <v>Promoted</v>
      </c>
      <c r="L671" t="str">
        <f t="shared" si="64"/>
        <v>Known Employee</v>
      </c>
      <c r="M671">
        <f t="shared" si="66"/>
        <v>4</v>
      </c>
      <c r="N671" t="str">
        <f t="shared" si="65"/>
        <v>May</v>
      </c>
    </row>
    <row r="672" spans="1:14" x14ac:dyDescent="0.3">
      <c r="A672" s="2" t="s">
        <v>386</v>
      </c>
      <c r="B672" t="s">
        <v>388</v>
      </c>
      <c r="C672" s="2" t="s">
        <v>53</v>
      </c>
      <c r="D672" s="2" t="s">
        <v>83</v>
      </c>
      <c r="E672" s="2" t="s">
        <v>158</v>
      </c>
      <c r="F672" s="2" t="s">
        <v>25</v>
      </c>
      <c r="G672" s="3">
        <v>484.5</v>
      </c>
      <c r="H672" s="1" t="s">
        <v>387</v>
      </c>
      <c r="I672">
        <f t="shared" si="61"/>
        <v>5</v>
      </c>
      <c r="J672" t="str">
        <f t="shared" si="62"/>
        <v>Regular</v>
      </c>
      <c r="K672" t="str">
        <f t="shared" si="63"/>
        <v>Promoted</v>
      </c>
      <c r="L672" t="str">
        <f t="shared" si="64"/>
        <v>Known Employee</v>
      </c>
      <c r="M672">
        <f t="shared" si="66"/>
        <v>2</v>
      </c>
      <c r="N672" t="str">
        <f t="shared" si="65"/>
        <v>May</v>
      </c>
    </row>
    <row r="673" spans="1:14" x14ac:dyDescent="0.3">
      <c r="A673" s="2" t="s">
        <v>1710</v>
      </c>
      <c r="B673" t="s">
        <v>183</v>
      </c>
      <c r="C673" s="2" t="s">
        <v>35</v>
      </c>
      <c r="D673" s="2" t="s">
        <v>36</v>
      </c>
      <c r="E673" s="2" t="s">
        <v>13</v>
      </c>
      <c r="F673" s="2" t="s">
        <v>65</v>
      </c>
      <c r="G673" s="3">
        <v>304</v>
      </c>
      <c r="H673" s="1" t="s">
        <v>1711</v>
      </c>
      <c r="I673">
        <f t="shared" si="61"/>
        <v>5</v>
      </c>
      <c r="J673" t="str">
        <f t="shared" si="62"/>
        <v>Regular</v>
      </c>
      <c r="K673" t="str">
        <f t="shared" si="63"/>
        <v>Promoted</v>
      </c>
      <c r="L673" t="str">
        <f t="shared" si="64"/>
        <v>Known Employee</v>
      </c>
      <c r="M673">
        <f t="shared" si="66"/>
        <v>6</v>
      </c>
      <c r="N673" t="str">
        <f t="shared" si="65"/>
        <v>May</v>
      </c>
    </row>
    <row r="674" spans="1:14" x14ac:dyDescent="0.3">
      <c r="A674" s="2" t="s">
        <v>1646</v>
      </c>
      <c r="B674" t="s">
        <v>445</v>
      </c>
      <c r="C674" s="2" t="s">
        <v>1945</v>
      </c>
      <c r="D674" s="2" t="s">
        <v>118</v>
      </c>
      <c r="E674" s="2" t="s">
        <v>13</v>
      </c>
      <c r="F674" s="2" t="s">
        <v>25</v>
      </c>
      <c r="G674" s="3">
        <v>242</v>
      </c>
      <c r="H674" s="1" t="s">
        <v>1647</v>
      </c>
      <c r="I674">
        <f t="shared" si="61"/>
        <v>5</v>
      </c>
      <c r="J674" t="str">
        <f t="shared" si="62"/>
        <v>Regular</v>
      </c>
      <c r="K674" t="str">
        <f t="shared" si="63"/>
        <v>Promoted</v>
      </c>
      <c r="L674" t="str">
        <f t="shared" si="64"/>
        <v>Known Employee</v>
      </c>
      <c r="M674">
        <f t="shared" si="66"/>
        <v>3</v>
      </c>
      <c r="N674" t="str">
        <f t="shared" si="65"/>
        <v>May</v>
      </c>
    </row>
    <row r="675" spans="1:14" x14ac:dyDescent="0.3">
      <c r="A675" s="2" t="s">
        <v>420</v>
      </c>
      <c r="B675" t="s">
        <v>421</v>
      </c>
      <c r="C675" s="2" t="s">
        <v>53</v>
      </c>
      <c r="D675" s="2" t="s">
        <v>76</v>
      </c>
      <c r="E675" s="2" t="s">
        <v>54</v>
      </c>
      <c r="F675" s="2" t="s">
        <v>40</v>
      </c>
      <c r="G675" s="3">
        <v>476.85</v>
      </c>
      <c r="H675" s="1" t="s">
        <v>254</v>
      </c>
      <c r="I675">
        <f t="shared" si="61"/>
        <v>6</v>
      </c>
      <c r="J675" t="str">
        <f t="shared" si="62"/>
        <v>Regular</v>
      </c>
      <c r="K675" t="str">
        <f t="shared" si="63"/>
        <v>Promoted</v>
      </c>
      <c r="L675" t="str">
        <f t="shared" si="64"/>
        <v>Known Employee</v>
      </c>
      <c r="M675">
        <f t="shared" si="66"/>
        <v>2</v>
      </c>
      <c r="N675" t="str">
        <f t="shared" si="65"/>
        <v>June</v>
      </c>
    </row>
    <row r="676" spans="1:14" x14ac:dyDescent="0.3">
      <c r="A676" s="2" t="s">
        <v>253</v>
      </c>
      <c r="B676" t="s">
        <v>255</v>
      </c>
      <c r="C676" s="2" t="s">
        <v>29</v>
      </c>
      <c r="D676" s="2" t="s">
        <v>123</v>
      </c>
      <c r="E676" s="2" t="s">
        <v>64</v>
      </c>
      <c r="F676" s="2" t="s">
        <v>25</v>
      </c>
      <c r="G676" s="3">
        <v>455</v>
      </c>
      <c r="H676" s="1" t="s">
        <v>254</v>
      </c>
      <c r="I676">
        <f t="shared" si="61"/>
        <v>6</v>
      </c>
      <c r="J676" t="str">
        <f t="shared" si="62"/>
        <v>Regular</v>
      </c>
      <c r="K676" t="str">
        <f t="shared" si="63"/>
        <v>Promoted</v>
      </c>
      <c r="L676" t="str">
        <f t="shared" si="64"/>
        <v>Known Employee</v>
      </c>
      <c r="M676">
        <f t="shared" si="66"/>
        <v>3</v>
      </c>
      <c r="N676" t="str">
        <f t="shared" si="65"/>
        <v>June</v>
      </c>
    </row>
    <row r="677" spans="1:14" x14ac:dyDescent="0.3">
      <c r="A677" s="2" t="s">
        <v>1532</v>
      </c>
      <c r="B677" t="s">
        <v>68</v>
      </c>
      <c r="C677" s="2" t="s">
        <v>35</v>
      </c>
      <c r="D677" s="2" t="s">
        <v>72</v>
      </c>
      <c r="E677" s="2" t="s">
        <v>54</v>
      </c>
      <c r="F677" s="2" t="s">
        <v>65</v>
      </c>
      <c r="G677" s="3">
        <v>161.5</v>
      </c>
      <c r="H677" s="1" t="s">
        <v>1533</v>
      </c>
      <c r="I677">
        <f t="shared" si="61"/>
        <v>6</v>
      </c>
      <c r="J677" t="str">
        <f t="shared" si="62"/>
        <v>Regular</v>
      </c>
      <c r="K677" t="str">
        <f t="shared" si="63"/>
        <v>Promoted</v>
      </c>
      <c r="L677" t="str">
        <f t="shared" si="64"/>
        <v>Known Employee</v>
      </c>
      <c r="M677">
        <f t="shared" si="66"/>
        <v>4</v>
      </c>
      <c r="N677" t="str">
        <f t="shared" si="65"/>
        <v>June</v>
      </c>
    </row>
    <row r="678" spans="1:14" x14ac:dyDescent="0.3">
      <c r="A678" s="2" t="s">
        <v>1796</v>
      </c>
      <c r="B678" t="s">
        <v>360</v>
      </c>
      <c r="C678" s="2" t="s">
        <v>35</v>
      </c>
      <c r="D678" s="2" t="s">
        <v>36</v>
      </c>
      <c r="E678" s="2" t="s">
        <v>54</v>
      </c>
      <c r="F678" s="2" t="s">
        <v>14</v>
      </c>
      <c r="G678" s="3">
        <v>323</v>
      </c>
      <c r="H678" s="1" t="s">
        <v>110</v>
      </c>
      <c r="I678">
        <f t="shared" si="61"/>
        <v>6</v>
      </c>
      <c r="J678" t="str">
        <f t="shared" si="62"/>
        <v>Regular</v>
      </c>
      <c r="K678" t="str">
        <f t="shared" si="63"/>
        <v>Promoted</v>
      </c>
      <c r="L678" t="str">
        <f t="shared" si="64"/>
        <v>Known Employee</v>
      </c>
      <c r="M678">
        <f t="shared" si="66"/>
        <v>5</v>
      </c>
      <c r="N678" t="str">
        <f t="shared" si="65"/>
        <v>June</v>
      </c>
    </row>
    <row r="679" spans="1:14" x14ac:dyDescent="0.3">
      <c r="A679" s="2" t="s">
        <v>415</v>
      </c>
      <c r="B679" t="s">
        <v>213</v>
      </c>
      <c r="C679" s="2" t="s">
        <v>35</v>
      </c>
      <c r="D679" s="2" t="s">
        <v>72</v>
      </c>
      <c r="E679" s="2" t="s">
        <v>13</v>
      </c>
      <c r="F679" s="2" t="s">
        <v>25</v>
      </c>
      <c r="G679" s="3">
        <v>225</v>
      </c>
      <c r="H679" s="1" t="s">
        <v>417</v>
      </c>
      <c r="I679">
        <f t="shared" si="61"/>
        <v>6</v>
      </c>
      <c r="J679" t="str">
        <f t="shared" si="62"/>
        <v>Regular</v>
      </c>
      <c r="K679" t="str">
        <f t="shared" si="63"/>
        <v>Promoted</v>
      </c>
      <c r="L679" t="str">
        <f t="shared" si="64"/>
        <v>Known Employee</v>
      </c>
      <c r="M679">
        <f t="shared" si="66"/>
        <v>7</v>
      </c>
      <c r="N679" t="str">
        <f t="shared" si="65"/>
        <v>June</v>
      </c>
    </row>
    <row r="680" spans="1:14" x14ac:dyDescent="0.3">
      <c r="A680" s="2" t="s">
        <v>214</v>
      </c>
      <c r="B680" t="s">
        <v>216</v>
      </c>
      <c r="C680" s="2" t="s">
        <v>35</v>
      </c>
      <c r="D680" s="2" t="s">
        <v>36</v>
      </c>
      <c r="E680" s="2" t="s">
        <v>13</v>
      </c>
      <c r="F680" s="2" t="s">
        <v>65</v>
      </c>
      <c r="G680" s="3">
        <v>266</v>
      </c>
      <c r="H680" s="1" t="s">
        <v>215</v>
      </c>
      <c r="I680">
        <f t="shared" si="61"/>
        <v>6</v>
      </c>
      <c r="J680" t="str">
        <f t="shared" si="62"/>
        <v>Regular</v>
      </c>
      <c r="K680" t="str">
        <f t="shared" si="63"/>
        <v>Promoted</v>
      </c>
      <c r="L680" t="str">
        <f t="shared" si="64"/>
        <v>Known Employee</v>
      </c>
      <c r="M680">
        <f t="shared" si="66"/>
        <v>3</v>
      </c>
      <c r="N680" t="str">
        <f t="shared" si="65"/>
        <v>June</v>
      </c>
    </row>
    <row r="681" spans="1:14" x14ac:dyDescent="0.3">
      <c r="A681" s="2" t="s">
        <v>1023</v>
      </c>
      <c r="B681" t="s">
        <v>276</v>
      </c>
      <c r="C681" s="2" t="s">
        <v>29</v>
      </c>
      <c r="D681" s="2" t="s">
        <v>200</v>
      </c>
      <c r="E681" s="2" t="s">
        <v>13</v>
      </c>
      <c r="F681" s="2" t="s">
        <v>65</v>
      </c>
      <c r="G681" s="3">
        <v>449</v>
      </c>
      <c r="H681" s="1" t="s">
        <v>632</v>
      </c>
      <c r="I681">
        <f t="shared" si="61"/>
        <v>6</v>
      </c>
      <c r="J681" t="str">
        <f t="shared" si="62"/>
        <v>Regular</v>
      </c>
      <c r="K681" t="str">
        <f t="shared" si="63"/>
        <v>Promoted</v>
      </c>
      <c r="L681" t="str">
        <f t="shared" si="64"/>
        <v>Known Employee</v>
      </c>
      <c r="M681">
        <f t="shared" si="66"/>
        <v>6</v>
      </c>
      <c r="N681" t="str">
        <f t="shared" si="65"/>
        <v>June</v>
      </c>
    </row>
    <row r="682" spans="1:14" x14ac:dyDescent="0.3">
      <c r="A682" s="2" t="s">
        <v>631</v>
      </c>
      <c r="B682" t="s">
        <v>155</v>
      </c>
      <c r="C682" s="2" t="s">
        <v>35</v>
      </c>
      <c r="D682" s="2" t="s">
        <v>36</v>
      </c>
      <c r="E682" s="2" t="s">
        <v>13</v>
      </c>
      <c r="F682" s="2" t="s">
        <v>65</v>
      </c>
      <c r="G682" s="3">
        <v>366</v>
      </c>
      <c r="H682" s="1" t="s">
        <v>632</v>
      </c>
      <c r="I682">
        <f t="shared" si="61"/>
        <v>6</v>
      </c>
      <c r="J682" t="str">
        <f t="shared" si="62"/>
        <v>Regular</v>
      </c>
      <c r="K682" t="str">
        <f t="shared" si="63"/>
        <v>Promoted</v>
      </c>
      <c r="L682" t="str">
        <f t="shared" si="64"/>
        <v>Known Employee</v>
      </c>
      <c r="M682">
        <f t="shared" si="66"/>
        <v>5</v>
      </c>
      <c r="N682" t="str">
        <f t="shared" si="65"/>
        <v>June</v>
      </c>
    </row>
    <row r="683" spans="1:14" x14ac:dyDescent="0.3">
      <c r="A683" s="2" t="s">
        <v>923</v>
      </c>
      <c r="B683" t="s">
        <v>663</v>
      </c>
      <c r="C683" s="2" t="s">
        <v>29</v>
      </c>
      <c r="D683" s="2" t="s">
        <v>30</v>
      </c>
      <c r="E683" s="2" t="s">
        <v>54</v>
      </c>
      <c r="F683" s="2" t="s">
        <v>14</v>
      </c>
      <c r="G683" s="3">
        <v>204</v>
      </c>
      <c r="H683" s="1" t="s">
        <v>924</v>
      </c>
      <c r="I683">
        <f t="shared" si="61"/>
        <v>6</v>
      </c>
      <c r="J683" t="str">
        <f t="shared" si="62"/>
        <v>Regular</v>
      </c>
      <c r="K683" t="str">
        <f t="shared" si="63"/>
        <v>Promoted</v>
      </c>
      <c r="L683" t="str">
        <f t="shared" si="64"/>
        <v>Known Employee</v>
      </c>
      <c r="M683">
        <f t="shared" si="66"/>
        <v>6</v>
      </c>
      <c r="N683" t="str">
        <f t="shared" si="65"/>
        <v>June</v>
      </c>
    </row>
    <row r="684" spans="1:14" x14ac:dyDescent="0.3">
      <c r="A684" s="2" t="s">
        <v>791</v>
      </c>
      <c r="B684" t="s">
        <v>793</v>
      </c>
      <c r="C684" s="2" t="s">
        <v>53</v>
      </c>
      <c r="D684" s="2" t="s">
        <v>83</v>
      </c>
      <c r="E684" s="2" t="s">
        <v>13</v>
      </c>
      <c r="F684" s="2" t="s">
        <v>40</v>
      </c>
      <c r="G684" s="3">
        <v>188</v>
      </c>
      <c r="H684" s="1" t="s">
        <v>792</v>
      </c>
      <c r="I684">
        <f t="shared" si="61"/>
        <v>6</v>
      </c>
      <c r="J684" t="str">
        <f t="shared" si="62"/>
        <v>Regular</v>
      </c>
      <c r="K684" t="str">
        <f t="shared" si="63"/>
        <v>Promoted</v>
      </c>
      <c r="L684" t="str">
        <f t="shared" si="64"/>
        <v>Known Employee</v>
      </c>
      <c r="M684">
        <f t="shared" si="66"/>
        <v>3</v>
      </c>
      <c r="N684" t="str">
        <f t="shared" si="65"/>
        <v>June</v>
      </c>
    </row>
    <row r="685" spans="1:14" x14ac:dyDescent="0.3">
      <c r="A685" s="2" t="s">
        <v>688</v>
      </c>
      <c r="B685" t="s">
        <v>310</v>
      </c>
      <c r="C685" s="2" t="s">
        <v>29</v>
      </c>
      <c r="D685" s="2" t="s">
        <v>200</v>
      </c>
      <c r="E685" s="2" t="s">
        <v>13</v>
      </c>
      <c r="F685" s="2" t="s">
        <v>14</v>
      </c>
      <c r="G685" s="3">
        <v>165</v>
      </c>
      <c r="H685" s="1" t="s">
        <v>689</v>
      </c>
      <c r="I685">
        <f t="shared" si="61"/>
        <v>6</v>
      </c>
      <c r="J685" t="str">
        <f t="shared" si="62"/>
        <v>Regular</v>
      </c>
      <c r="K685" t="str">
        <f t="shared" si="63"/>
        <v>Promoted</v>
      </c>
      <c r="L685" t="str">
        <f t="shared" si="64"/>
        <v>Known Employee</v>
      </c>
      <c r="M685">
        <f t="shared" si="66"/>
        <v>3</v>
      </c>
      <c r="N685" t="str">
        <f t="shared" si="65"/>
        <v>June</v>
      </c>
    </row>
    <row r="686" spans="1:14" x14ac:dyDescent="0.3">
      <c r="A686" s="2" t="s">
        <v>1600</v>
      </c>
      <c r="B686" t="s">
        <v>663</v>
      </c>
      <c r="C686" s="2" t="s">
        <v>246</v>
      </c>
      <c r="D686" s="2" t="s">
        <v>140</v>
      </c>
      <c r="E686" s="2" t="s">
        <v>54</v>
      </c>
      <c r="F686" s="2" t="s">
        <v>25</v>
      </c>
      <c r="G686" s="3">
        <v>353.6</v>
      </c>
      <c r="H686" s="1" t="s">
        <v>1601</v>
      </c>
      <c r="I686">
        <f t="shared" si="61"/>
        <v>6</v>
      </c>
      <c r="J686" t="str">
        <f t="shared" si="62"/>
        <v>Regular</v>
      </c>
      <c r="K686" t="str">
        <f t="shared" si="63"/>
        <v>Promoted</v>
      </c>
      <c r="L686" t="str">
        <f t="shared" si="64"/>
        <v>Known Employee</v>
      </c>
      <c r="M686">
        <f t="shared" si="66"/>
        <v>6</v>
      </c>
      <c r="N686" t="str">
        <f t="shared" si="65"/>
        <v>June</v>
      </c>
    </row>
    <row r="687" spans="1:14" x14ac:dyDescent="0.3">
      <c r="A687" s="2" t="s">
        <v>1086</v>
      </c>
      <c r="B687" t="s">
        <v>793</v>
      </c>
      <c r="C687" s="2" t="s">
        <v>18</v>
      </c>
      <c r="D687" s="2" t="s">
        <v>87</v>
      </c>
      <c r="E687" s="2" t="s">
        <v>13</v>
      </c>
      <c r="F687" s="2" t="s">
        <v>14</v>
      </c>
      <c r="G687" s="3">
        <v>328</v>
      </c>
      <c r="H687" s="1" t="s">
        <v>1087</v>
      </c>
      <c r="I687">
        <f t="shared" si="61"/>
        <v>7</v>
      </c>
      <c r="J687" t="str">
        <f t="shared" si="62"/>
        <v>Regular</v>
      </c>
      <c r="K687" t="str">
        <f t="shared" si="63"/>
        <v>Promoted</v>
      </c>
      <c r="L687" t="str">
        <f t="shared" si="64"/>
        <v>Known Employee</v>
      </c>
      <c r="M687">
        <f t="shared" si="66"/>
        <v>3</v>
      </c>
      <c r="N687" t="str">
        <f t="shared" si="65"/>
        <v>July</v>
      </c>
    </row>
    <row r="688" spans="1:14" x14ac:dyDescent="0.3">
      <c r="A688" s="2" t="s">
        <v>1888</v>
      </c>
      <c r="B688" t="s">
        <v>264</v>
      </c>
      <c r="C688" s="2" t="s">
        <v>53</v>
      </c>
      <c r="D688" s="2" t="s">
        <v>83</v>
      </c>
      <c r="E688" s="2" t="s">
        <v>24</v>
      </c>
      <c r="F688" s="2" t="s">
        <v>40</v>
      </c>
      <c r="G688" s="3">
        <v>651.6</v>
      </c>
      <c r="H688" s="1" t="s">
        <v>1889</v>
      </c>
      <c r="I688">
        <f t="shared" si="61"/>
        <v>7</v>
      </c>
      <c r="J688" t="str">
        <f t="shared" si="62"/>
        <v>Regular</v>
      </c>
      <c r="K688" t="str">
        <f t="shared" si="63"/>
        <v>Promoted</v>
      </c>
      <c r="L688" t="str">
        <f t="shared" si="64"/>
        <v>Known Employee</v>
      </c>
      <c r="M688">
        <f t="shared" si="66"/>
        <v>6</v>
      </c>
      <c r="N688" t="str">
        <f t="shared" si="65"/>
        <v>July</v>
      </c>
    </row>
    <row r="689" spans="1:14" x14ac:dyDescent="0.3">
      <c r="A689" s="2" t="s">
        <v>46</v>
      </c>
      <c r="B689" t="s">
        <v>48</v>
      </c>
      <c r="C689" s="2" t="s">
        <v>29</v>
      </c>
      <c r="D689" s="2" t="s">
        <v>49</v>
      </c>
      <c r="E689" s="2" t="s">
        <v>13</v>
      </c>
      <c r="F689" s="2" t="s">
        <v>40</v>
      </c>
      <c r="G689" s="3">
        <v>420</v>
      </c>
      <c r="H689" s="1" t="s">
        <v>47</v>
      </c>
      <c r="I689">
        <f t="shared" si="61"/>
        <v>7</v>
      </c>
      <c r="J689" t="str">
        <f t="shared" si="62"/>
        <v>Regular</v>
      </c>
      <c r="K689" t="str">
        <f t="shared" si="63"/>
        <v>Promoted</v>
      </c>
      <c r="L689" t="str">
        <f t="shared" si="64"/>
        <v>Known Employee</v>
      </c>
      <c r="M689">
        <f t="shared" si="66"/>
        <v>4</v>
      </c>
      <c r="N689" t="str">
        <f t="shared" si="65"/>
        <v>July</v>
      </c>
    </row>
    <row r="690" spans="1:14" x14ac:dyDescent="0.3">
      <c r="A690" s="2" t="s">
        <v>714</v>
      </c>
      <c r="B690" t="s">
        <v>517</v>
      </c>
      <c r="C690" s="2" t="s">
        <v>35</v>
      </c>
      <c r="D690" s="2" t="s">
        <v>140</v>
      </c>
      <c r="E690" s="2" t="s">
        <v>13</v>
      </c>
      <c r="F690" s="2" t="s">
        <v>40</v>
      </c>
      <c r="G690" s="3">
        <v>615</v>
      </c>
      <c r="H690" s="1" t="s">
        <v>715</v>
      </c>
      <c r="I690">
        <f t="shared" si="61"/>
        <v>7</v>
      </c>
      <c r="J690" t="str">
        <f t="shared" si="62"/>
        <v>Regular</v>
      </c>
      <c r="K690" t="str">
        <f t="shared" si="63"/>
        <v>Promoted</v>
      </c>
      <c r="L690" t="str">
        <f t="shared" si="64"/>
        <v>Known Employee</v>
      </c>
      <c r="M690">
        <f t="shared" si="66"/>
        <v>5</v>
      </c>
      <c r="N690" t="str">
        <f t="shared" si="65"/>
        <v>July</v>
      </c>
    </row>
    <row r="691" spans="1:14" x14ac:dyDescent="0.3">
      <c r="A691" s="2" t="s">
        <v>1234</v>
      </c>
      <c r="B691" t="s">
        <v>1198</v>
      </c>
      <c r="C691" s="2" t="s">
        <v>18</v>
      </c>
      <c r="D691" s="2" t="s">
        <v>12</v>
      </c>
      <c r="E691" s="2" t="s">
        <v>13</v>
      </c>
      <c r="F691" s="2" t="s">
        <v>65</v>
      </c>
      <c r="G691" s="3">
        <v>455</v>
      </c>
      <c r="H691" s="1" t="s">
        <v>1235</v>
      </c>
      <c r="I691">
        <f t="shared" si="61"/>
        <v>7</v>
      </c>
      <c r="J691" t="str">
        <f t="shared" si="62"/>
        <v>Regular</v>
      </c>
      <c r="K691" t="str">
        <f t="shared" si="63"/>
        <v>Promoted</v>
      </c>
      <c r="L691" t="str">
        <f t="shared" si="64"/>
        <v>Known Employee</v>
      </c>
      <c r="M691">
        <f t="shared" si="66"/>
        <v>4</v>
      </c>
      <c r="N691" t="str">
        <f t="shared" si="65"/>
        <v>July</v>
      </c>
    </row>
    <row r="692" spans="1:14" x14ac:dyDescent="0.3">
      <c r="A692" s="2" t="s">
        <v>1075</v>
      </c>
      <c r="B692" t="s">
        <v>1077</v>
      </c>
      <c r="C692" s="2" t="s">
        <v>35</v>
      </c>
      <c r="D692" s="2" t="s">
        <v>340</v>
      </c>
      <c r="E692" s="2" t="s">
        <v>13</v>
      </c>
      <c r="F692" s="2" t="s">
        <v>65</v>
      </c>
      <c r="G692" s="3">
        <v>535</v>
      </c>
      <c r="H692" s="1" t="s">
        <v>1076</v>
      </c>
      <c r="I692">
        <f t="shared" si="61"/>
        <v>7</v>
      </c>
      <c r="J692" t="str">
        <f t="shared" si="62"/>
        <v>Regular</v>
      </c>
      <c r="K692" t="str">
        <f t="shared" si="63"/>
        <v>Promoted</v>
      </c>
      <c r="L692" t="str">
        <f t="shared" si="64"/>
        <v>Known Employee</v>
      </c>
      <c r="M692">
        <f t="shared" si="66"/>
        <v>3</v>
      </c>
      <c r="N692" t="str">
        <f t="shared" si="65"/>
        <v>July</v>
      </c>
    </row>
    <row r="693" spans="1:14" x14ac:dyDescent="0.3">
      <c r="A693" s="2" t="s">
        <v>1595</v>
      </c>
      <c r="B693" t="s">
        <v>363</v>
      </c>
      <c r="C693" s="2" t="s">
        <v>53</v>
      </c>
      <c r="D693" s="2" t="s">
        <v>138</v>
      </c>
      <c r="E693" s="2" t="s">
        <v>13</v>
      </c>
      <c r="F693" s="2" t="s">
        <v>25</v>
      </c>
      <c r="G693" s="3">
        <v>507</v>
      </c>
      <c r="H693" s="1" t="s">
        <v>1076</v>
      </c>
      <c r="I693">
        <f t="shared" si="61"/>
        <v>7</v>
      </c>
      <c r="J693" t="str">
        <f t="shared" si="62"/>
        <v>Regular</v>
      </c>
      <c r="K693" t="str">
        <f t="shared" si="63"/>
        <v>Promoted</v>
      </c>
      <c r="L693" t="str">
        <f t="shared" si="64"/>
        <v>Known Employee</v>
      </c>
      <c r="M693">
        <f t="shared" si="66"/>
        <v>4</v>
      </c>
      <c r="N693" t="str">
        <f t="shared" si="65"/>
        <v>July</v>
      </c>
    </row>
    <row r="694" spans="1:14" x14ac:dyDescent="0.3">
      <c r="A694" s="2" t="s">
        <v>1729</v>
      </c>
      <c r="B694" t="s">
        <v>968</v>
      </c>
      <c r="C694" s="2" t="s">
        <v>53</v>
      </c>
      <c r="D694" s="2" t="s">
        <v>118</v>
      </c>
      <c r="E694" s="2" t="s">
        <v>13</v>
      </c>
      <c r="F694" s="2" t="s">
        <v>14</v>
      </c>
      <c r="G694" s="3">
        <v>295</v>
      </c>
      <c r="H694" s="1" t="s">
        <v>156</v>
      </c>
      <c r="I694">
        <f t="shared" si="61"/>
        <v>7</v>
      </c>
      <c r="J694" t="str">
        <f t="shared" si="62"/>
        <v>Regular</v>
      </c>
      <c r="K694" t="str">
        <f t="shared" si="63"/>
        <v>Promoted</v>
      </c>
      <c r="L694" t="str">
        <f t="shared" si="64"/>
        <v>Known Employee</v>
      </c>
      <c r="M694">
        <f t="shared" si="66"/>
        <v>3</v>
      </c>
      <c r="N694" t="str">
        <f t="shared" si="65"/>
        <v>July</v>
      </c>
    </row>
    <row r="695" spans="1:14" x14ac:dyDescent="0.3">
      <c r="A695" s="2" t="s">
        <v>1186</v>
      </c>
      <c r="B695" t="s">
        <v>520</v>
      </c>
      <c r="C695" s="2" t="s">
        <v>18</v>
      </c>
      <c r="D695" s="2" t="s">
        <v>295</v>
      </c>
      <c r="E695" s="2" t="s">
        <v>13</v>
      </c>
      <c r="F695" s="2" t="s">
        <v>268</v>
      </c>
      <c r="G695" s="3">
        <v>220</v>
      </c>
      <c r="H695" s="1" t="s">
        <v>1187</v>
      </c>
      <c r="I695">
        <f t="shared" si="61"/>
        <v>7</v>
      </c>
      <c r="J695" t="str">
        <f t="shared" si="62"/>
        <v>Regular</v>
      </c>
      <c r="K695" t="str">
        <f t="shared" si="63"/>
        <v>Promoted</v>
      </c>
      <c r="L695" t="str">
        <f t="shared" si="64"/>
        <v>Known Employee</v>
      </c>
      <c r="M695">
        <f t="shared" si="66"/>
        <v>5</v>
      </c>
      <c r="N695" t="str">
        <f t="shared" si="65"/>
        <v>July</v>
      </c>
    </row>
    <row r="696" spans="1:14" x14ac:dyDescent="0.3">
      <c r="A696" s="2" t="s">
        <v>1632</v>
      </c>
      <c r="B696" t="s">
        <v>770</v>
      </c>
      <c r="C696" s="2" t="s">
        <v>53</v>
      </c>
      <c r="D696" s="2" t="s">
        <v>76</v>
      </c>
      <c r="E696" s="2" t="s">
        <v>13</v>
      </c>
      <c r="F696" s="2" t="s">
        <v>25</v>
      </c>
      <c r="G696" s="3">
        <v>444</v>
      </c>
      <c r="H696" s="1" t="s">
        <v>1633</v>
      </c>
      <c r="I696">
        <f t="shared" si="61"/>
        <v>7</v>
      </c>
      <c r="J696" t="str">
        <f t="shared" si="62"/>
        <v>Regular</v>
      </c>
      <c r="K696" t="str">
        <f t="shared" si="63"/>
        <v>Promoted</v>
      </c>
      <c r="L696" t="str">
        <f t="shared" si="64"/>
        <v>Known Employee</v>
      </c>
      <c r="M696">
        <f t="shared" si="66"/>
        <v>5</v>
      </c>
      <c r="N696" t="str">
        <f t="shared" si="65"/>
        <v>July</v>
      </c>
    </row>
    <row r="697" spans="1:14" x14ac:dyDescent="0.3">
      <c r="A697" s="2" t="s">
        <v>1005</v>
      </c>
      <c r="B697" t="s">
        <v>550</v>
      </c>
      <c r="C697" s="2" t="s">
        <v>18</v>
      </c>
      <c r="D697" s="2" t="s">
        <v>87</v>
      </c>
      <c r="E697" s="2" t="s">
        <v>24</v>
      </c>
      <c r="F697" s="2" t="s">
        <v>40</v>
      </c>
      <c r="G697" s="3">
        <v>202.5</v>
      </c>
      <c r="H697" s="1" t="s">
        <v>1006</v>
      </c>
      <c r="I697">
        <f t="shared" si="61"/>
        <v>7</v>
      </c>
      <c r="J697" t="str">
        <f t="shared" si="62"/>
        <v>Regular</v>
      </c>
      <c r="K697" t="str">
        <f t="shared" si="63"/>
        <v>Promoted</v>
      </c>
      <c r="L697" t="str">
        <f t="shared" si="64"/>
        <v>Known Employee</v>
      </c>
      <c r="M697">
        <f t="shared" si="66"/>
        <v>2</v>
      </c>
      <c r="N697" t="str">
        <f t="shared" si="65"/>
        <v>July</v>
      </c>
    </row>
    <row r="698" spans="1:14" x14ac:dyDescent="0.3">
      <c r="A698" s="2" t="s">
        <v>1346</v>
      </c>
      <c r="B698" t="s">
        <v>463</v>
      </c>
      <c r="C698" s="2" t="s">
        <v>29</v>
      </c>
      <c r="D698" s="2" t="s">
        <v>30</v>
      </c>
      <c r="E698" s="2" t="s">
        <v>322</v>
      </c>
      <c r="F698" s="2" t="s">
        <v>14</v>
      </c>
      <c r="G698" s="3">
        <v>634.5</v>
      </c>
      <c r="H698" s="1" t="s">
        <v>1347</v>
      </c>
      <c r="I698">
        <f t="shared" si="61"/>
        <v>7</v>
      </c>
      <c r="J698" t="str">
        <f t="shared" si="62"/>
        <v>Regular</v>
      </c>
      <c r="K698" t="str">
        <f t="shared" si="63"/>
        <v>Promoted</v>
      </c>
      <c r="L698" t="str">
        <f t="shared" si="64"/>
        <v>Known Employee</v>
      </c>
      <c r="M698">
        <f t="shared" si="66"/>
        <v>3</v>
      </c>
      <c r="N698" t="str">
        <f t="shared" si="65"/>
        <v>July</v>
      </c>
    </row>
    <row r="699" spans="1:14" x14ac:dyDescent="0.3">
      <c r="A699" s="2" t="s">
        <v>1207</v>
      </c>
      <c r="B699" t="s">
        <v>706</v>
      </c>
      <c r="C699" s="2" t="s">
        <v>35</v>
      </c>
      <c r="D699" s="2" t="s">
        <v>1945</v>
      </c>
      <c r="E699" s="2" t="s">
        <v>13</v>
      </c>
      <c r="F699" s="2" t="s">
        <v>268</v>
      </c>
      <c r="G699" s="3">
        <v>278</v>
      </c>
      <c r="H699" s="1" t="s">
        <v>1208</v>
      </c>
      <c r="I699">
        <f t="shared" si="61"/>
        <v>7</v>
      </c>
      <c r="J699" t="str">
        <f t="shared" si="62"/>
        <v>Regular</v>
      </c>
      <c r="K699" t="str">
        <f t="shared" si="63"/>
        <v>Promoted</v>
      </c>
      <c r="L699" t="str">
        <f t="shared" si="64"/>
        <v>Employee</v>
      </c>
      <c r="M699">
        <f t="shared" si="66"/>
        <v>4</v>
      </c>
      <c r="N699" t="str">
        <f t="shared" si="65"/>
        <v>July</v>
      </c>
    </row>
    <row r="700" spans="1:14" x14ac:dyDescent="0.3">
      <c r="A700" s="2" t="s">
        <v>827</v>
      </c>
      <c r="B700" t="s">
        <v>829</v>
      </c>
      <c r="C700" s="2" t="s">
        <v>53</v>
      </c>
      <c r="D700" s="2" t="s">
        <v>104</v>
      </c>
      <c r="E700" s="2" t="s">
        <v>64</v>
      </c>
      <c r="F700" s="2" t="s">
        <v>65</v>
      </c>
      <c r="G700" s="3">
        <v>340</v>
      </c>
      <c r="H700" s="1" t="s">
        <v>828</v>
      </c>
      <c r="I700">
        <f t="shared" si="61"/>
        <v>7</v>
      </c>
      <c r="J700" t="str">
        <f t="shared" si="62"/>
        <v>Regular</v>
      </c>
      <c r="K700" t="str">
        <f t="shared" si="63"/>
        <v>Promoted</v>
      </c>
      <c r="L700" t="str">
        <f t="shared" si="64"/>
        <v>Known Employee</v>
      </c>
      <c r="M700">
        <f t="shared" si="66"/>
        <v>2</v>
      </c>
      <c r="N700" t="str">
        <f t="shared" si="65"/>
        <v>July</v>
      </c>
    </row>
    <row r="701" spans="1:14" x14ac:dyDescent="0.3">
      <c r="A701" s="2" t="s">
        <v>1153</v>
      </c>
      <c r="B701" t="s">
        <v>527</v>
      </c>
      <c r="C701" s="2" t="s">
        <v>53</v>
      </c>
      <c r="D701" s="2" t="s">
        <v>76</v>
      </c>
      <c r="E701" s="2" t="s">
        <v>13</v>
      </c>
      <c r="F701" s="2" t="s">
        <v>65</v>
      </c>
      <c r="G701" s="3">
        <v>153</v>
      </c>
      <c r="H701" s="1" t="s">
        <v>1154</v>
      </c>
      <c r="I701">
        <f t="shared" si="61"/>
        <v>7</v>
      </c>
      <c r="J701" t="str">
        <f t="shared" si="62"/>
        <v>Regular</v>
      </c>
      <c r="K701" t="str">
        <f t="shared" si="63"/>
        <v>Promoted</v>
      </c>
      <c r="L701" t="str">
        <f t="shared" si="64"/>
        <v>Known Employee</v>
      </c>
      <c r="M701">
        <f t="shared" si="66"/>
        <v>2</v>
      </c>
      <c r="N701" t="str">
        <f t="shared" si="65"/>
        <v>July</v>
      </c>
    </row>
    <row r="702" spans="1:14" x14ac:dyDescent="0.3">
      <c r="A702" s="2" t="s">
        <v>434</v>
      </c>
      <c r="B702" t="s">
        <v>238</v>
      </c>
      <c r="C702" s="2" t="s">
        <v>18</v>
      </c>
      <c r="D702" s="2" t="s">
        <v>23</v>
      </c>
      <c r="E702" s="2" t="s">
        <v>13</v>
      </c>
      <c r="F702" s="2" t="s">
        <v>14</v>
      </c>
      <c r="G702" s="3">
        <v>415</v>
      </c>
      <c r="H702" s="1" t="s">
        <v>435</v>
      </c>
      <c r="I702">
        <f t="shared" si="61"/>
        <v>8</v>
      </c>
      <c r="J702" t="str">
        <f t="shared" si="62"/>
        <v>Rakshabandhan</v>
      </c>
      <c r="K702" t="str">
        <f t="shared" si="63"/>
        <v>Promoted</v>
      </c>
      <c r="L702" t="str">
        <f t="shared" si="64"/>
        <v>Known Employee</v>
      </c>
      <c r="M702">
        <f t="shared" si="66"/>
        <v>6</v>
      </c>
      <c r="N702" t="str">
        <f t="shared" si="65"/>
        <v>August</v>
      </c>
    </row>
    <row r="703" spans="1:14" x14ac:dyDescent="0.3">
      <c r="A703" s="2" t="s">
        <v>1523</v>
      </c>
      <c r="B703" t="s">
        <v>28</v>
      </c>
      <c r="C703" s="2" t="s">
        <v>29</v>
      </c>
      <c r="D703" s="2" t="s">
        <v>123</v>
      </c>
      <c r="E703" s="2" t="s">
        <v>13</v>
      </c>
      <c r="F703" s="2" t="s">
        <v>40</v>
      </c>
      <c r="G703" s="3">
        <v>351</v>
      </c>
      <c r="H703" s="1" t="s">
        <v>1524</v>
      </c>
      <c r="I703">
        <f t="shared" si="61"/>
        <v>8</v>
      </c>
      <c r="J703" t="str">
        <f t="shared" si="62"/>
        <v>Rakshabandhan</v>
      </c>
      <c r="K703" t="str">
        <f t="shared" si="63"/>
        <v>Promoted</v>
      </c>
      <c r="L703" t="str">
        <f t="shared" si="64"/>
        <v>Known Employee</v>
      </c>
      <c r="M703">
        <f t="shared" si="66"/>
        <v>4</v>
      </c>
      <c r="N703" t="str">
        <f t="shared" si="65"/>
        <v>August</v>
      </c>
    </row>
    <row r="704" spans="1:14" x14ac:dyDescent="0.3">
      <c r="A704" s="2" t="s">
        <v>446</v>
      </c>
      <c r="B704" t="s">
        <v>319</v>
      </c>
      <c r="C704" s="2" t="s">
        <v>246</v>
      </c>
      <c r="D704" s="2" t="s">
        <v>44</v>
      </c>
      <c r="E704" s="2" t="s">
        <v>13</v>
      </c>
      <c r="F704" s="2" t="s">
        <v>144</v>
      </c>
      <c r="G704" s="3">
        <v>495</v>
      </c>
      <c r="H704" s="1" t="s">
        <v>447</v>
      </c>
      <c r="I704">
        <f t="shared" si="61"/>
        <v>8</v>
      </c>
      <c r="J704" t="str">
        <f t="shared" si="62"/>
        <v>Rakshabandhan</v>
      </c>
      <c r="K704" t="str">
        <f t="shared" si="63"/>
        <v>Promoted</v>
      </c>
      <c r="L704" t="str">
        <f t="shared" si="64"/>
        <v>Known Employee</v>
      </c>
      <c r="M704">
        <f t="shared" si="66"/>
        <v>6</v>
      </c>
      <c r="N704" t="str">
        <f t="shared" si="65"/>
        <v>August</v>
      </c>
    </row>
    <row r="705" spans="1:14" x14ac:dyDescent="0.3">
      <c r="A705" s="2" t="s">
        <v>120</v>
      </c>
      <c r="B705" t="s">
        <v>122</v>
      </c>
      <c r="C705" s="2" t="s">
        <v>29</v>
      </c>
      <c r="D705" s="2" t="s">
        <v>123</v>
      </c>
      <c r="E705" s="2" t="s">
        <v>13</v>
      </c>
      <c r="F705" s="2" t="s">
        <v>25</v>
      </c>
      <c r="G705" s="3">
        <v>651</v>
      </c>
      <c r="H705" s="1" t="s">
        <v>121</v>
      </c>
      <c r="I705">
        <f t="shared" si="61"/>
        <v>8</v>
      </c>
      <c r="J705" t="str">
        <f t="shared" si="62"/>
        <v>Rakshabandhan</v>
      </c>
      <c r="K705" t="str">
        <f t="shared" si="63"/>
        <v>Promoted</v>
      </c>
      <c r="L705" t="str">
        <f t="shared" si="64"/>
        <v>Known Employee</v>
      </c>
      <c r="M705">
        <f t="shared" si="66"/>
        <v>6</v>
      </c>
      <c r="N705" t="str">
        <f t="shared" si="65"/>
        <v>August</v>
      </c>
    </row>
    <row r="706" spans="1:14" x14ac:dyDescent="0.3">
      <c r="A706" s="2" t="s">
        <v>1905</v>
      </c>
      <c r="B706" t="s">
        <v>1191</v>
      </c>
      <c r="C706" s="2" t="s">
        <v>18</v>
      </c>
      <c r="D706" s="2" t="s">
        <v>295</v>
      </c>
      <c r="E706" s="2" t="s">
        <v>13</v>
      </c>
      <c r="F706" s="2" t="s">
        <v>14</v>
      </c>
      <c r="G706" s="3">
        <v>120</v>
      </c>
      <c r="H706" s="1" t="s">
        <v>867</v>
      </c>
      <c r="I706">
        <f t="shared" ref="I706:I769" si="67">MONTH(H706)</f>
        <v>8</v>
      </c>
      <c r="J706" t="str">
        <f t="shared" ref="J706:J769" si="68">IF(OR(I706=10,I706=11),"Diwali",IF(I706=9,"Navratri",IF(I706=8,"Rakshabandhan",IF(I706=3,"Holi",IF(I706=1,"Makar Sankranti","Regular")))))</f>
        <v>Rakshabandhan</v>
      </c>
      <c r="K706" t="str">
        <f t="shared" ref="K706:K769" si="69" xml:space="preserve"> IF(E706="No Promotion", "Not Promoted", "Promoted")</f>
        <v>Promoted</v>
      </c>
      <c r="L706" t="str">
        <f t="shared" ref="L706:L769" si="70" xml:space="preserve"> IF(D706="Unknown","Employee","Known Employee")</f>
        <v>Known Employee</v>
      </c>
      <c r="M706">
        <f t="shared" si="66"/>
        <v>4</v>
      </c>
      <c r="N706" t="str">
        <f t="shared" si="65"/>
        <v>August</v>
      </c>
    </row>
    <row r="707" spans="1:14" x14ac:dyDescent="0.3">
      <c r="A707" s="2" t="s">
        <v>1131</v>
      </c>
      <c r="B707" t="s">
        <v>346</v>
      </c>
      <c r="C707" s="2" t="s">
        <v>18</v>
      </c>
      <c r="D707" s="2" t="s">
        <v>295</v>
      </c>
      <c r="E707" s="2" t="s">
        <v>13</v>
      </c>
      <c r="F707" s="2" t="s">
        <v>40</v>
      </c>
      <c r="G707" s="3">
        <v>166</v>
      </c>
      <c r="H707" s="1" t="s">
        <v>867</v>
      </c>
      <c r="I707">
        <f t="shared" si="67"/>
        <v>8</v>
      </c>
      <c r="J707" t="str">
        <f t="shared" si="68"/>
        <v>Rakshabandhan</v>
      </c>
      <c r="K707" t="str">
        <f t="shared" si="69"/>
        <v>Promoted</v>
      </c>
      <c r="L707" t="str">
        <f t="shared" si="70"/>
        <v>Known Employee</v>
      </c>
      <c r="M707">
        <f t="shared" si="66"/>
        <v>5</v>
      </c>
      <c r="N707" t="str">
        <f t="shared" ref="N707:N770" si="71">TEXT(DATE(2000, I707, 1), "mmmm")</f>
        <v>August</v>
      </c>
    </row>
    <row r="708" spans="1:14" x14ac:dyDescent="0.3">
      <c r="A708" s="2" t="s">
        <v>259</v>
      </c>
      <c r="B708" t="s">
        <v>261</v>
      </c>
      <c r="C708" s="2" t="s">
        <v>35</v>
      </c>
      <c r="D708" s="2" t="s">
        <v>44</v>
      </c>
      <c r="E708" s="2" t="s">
        <v>158</v>
      </c>
      <c r="F708" s="2" t="s">
        <v>25</v>
      </c>
      <c r="G708" s="3">
        <v>532</v>
      </c>
      <c r="H708" s="1" t="s">
        <v>260</v>
      </c>
      <c r="I708">
        <f t="shared" si="67"/>
        <v>8</v>
      </c>
      <c r="J708" t="str">
        <f t="shared" si="68"/>
        <v>Rakshabandhan</v>
      </c>
      <c r="K708" t="str">
        <f t="shared" si="69"/>
        <v>Promoted</v>
      </c>
      <c r="L708" t="str">
        <f t="shared" si="70"/>
        <v>Known Employee</v>
      </c>
      <c r="M708">
        <f t="shared" si="66"/>
        <v>4</v>
      </c>
      <c r="N708" t="str">
        <f t="shared" si="71"/>
        <v>August</v>
      </c>
    </row>
    <row r="709" spans="1:14" x14ac:dyDescent="0.3">
      <c r="A709" s="2" t="s">
        <v>1682</v>
      </c>
      <c r="B709" t="s">
        <v>1683</v>
      </c>
      <c r="C709" s="2" t="s">
        <v>53</v>
      </c>
      <c r="D709" s="2" t="s">
        <v>83</v>
      </c>
      <c r="E709" s="2" t="s">
        <v>13</v>
      </c>
      <c r="F709" s="2" t="s">
        <v>65</v>
      </c>
      <c r="G709" s="3">
        <v>764</v>
      </c>
      <c r="H709" s="1" t="s">
        <v>190</v>
      </c>
      <c r="I709">
        <f t="shared" si="67"/>
        <v>8</v>
      </c>
      <c r="J709" t="str">
        <f t="shared" si="68"/>
        <v>Rakshabandhan</v>
      </c>
      <c r="K709" t="str">
        <f t="shared" si="69"/>
        <v>Promoted</v>
      </c>
      <c r="L709" t="str">
        <f t="shared" si="70"/>
        <v>Known Employee</v>
      </c>
      <c r="M709">
        <f t="shared" si="66"/>
        <v>1</v>
      </c>
      <c r="N709" t="str">
        <f t="shared" si="71"/>
        <v>August</v>
      </c>
    </row>
    <row r="710" spans="1:14" x14ac:dyDescent="0.3">
      <c r="A710" s="2" t="s">
        <v>465</v>
      </c>
      <c r="B710" t="s">
        <v>174</v>
      </c>
      <c r="C710" s="2" t="s">
        <v>35</v>
      </c>
      <c r="D710" s="2" t="s">
        <v>340</v>
      </c>
      <c r="E710" s="2" t="s">
        <v>54</v>
      </c>
      <c r="F710" s="2" t="s">
        <v>40</v>
      </c>
      <c r="G710" s="3">
        <v>46.75</v>
      </c>
      <c r="H710" s="1" t="s">
        <v>190</v>
      </c>
      <c r="I710">
        <f t="shared" si="67"/>
        <v>8</v>
      </c>
      <c r="J710" t="str">
        <f t="shared" si="68"/>
        <v>Rakshabandhan</v>
      </c>
      <c r="K710" t="str">
        <f t="shared" si="69"/>
        <v>Promoted</v>
      </c>
      <c r="L710" t="str">
        <f t="shared" si="70"/>
        <v>Known Employee</v>
      </c>
      <c r="M710">
        <f t="shared" si="66"/>
        <v>9</v>
      </c>
      <c r="N710" t="str">
        <f t="shared" si="71"/>
        <v>August</v>
      </c>
    </row>
    <row r="711" spans="1:14" x14ac:dyDescent="0.3">
      <c r="A711" s="2" t="s">
        <v>189</v>
      </c>
      <c r="B711" t="s">
        <v>191</v>
      </c>
      <c r="C711" s="2" t="s">
        <v>29</v>
      </c>
      <c r="D711" s="2" t="s">
        <v>168</v>
      </c>
      <c r="E711" s="2" t="s">
        <v>13</v>
      </c>
      <c r="F711" s="2" t="s">
        <v>65</v>
      </c>
      <c r="G711" s="3">
        <v>70</v>
      </c>
      <c r="H711" s="1" t="s">
        <v>190</v>
      </c>
      <c r="I711">
        <f t="shared" si="67"/>
        <v>8</v>
      </c>
      <c r="J711" t="str">
        <f t="shared" si="68"/>
        <v>Rakshabandhan</v>
      </c>
      <c r="K711" t="str">
        <f t="shared" si="69"/>
        <v>Promoted</v>
      </c>
      <c r="L711" t="str">
        <f t="shared" si="70"/>
        <v>Known Employee</v>
      </c>
      <c r="M711">
        <f t="shared" si="66"/>
        <v>3</v>
      </c>
      <c r="N711" t="str">
        <f t="shared" si="71"/>
        <v>August</v>
      </c>
    </row>
    <row r="712" spans="1:14" x14ac:dyDescent="0.3">
      <c r="A712" s="2" t="s">
        <v>1785</v>
      </c>
      <c r="B712" t="s">
        <v>671</v>
      </c>
      <c r="C712" s="2" t="s">
        <v>29</v>
      </c>
      <c r="D712" s="2" t="s">
        <v>168</v>
      </c>
      <c r="E712" s="2" t="s">
        <v>24</v>
      </c>
      <c r="F712" s="2" t="s">
        <v>14</v>
      </c>
      <c r="G712" s="3">
        <v>63</v>
      </c>
      <c r="H712" s="1" t="s">
        <v>1786</v>
      </c>
      <c r="I712">
        <f t="shared" si="67"/>
        <v>8</v>
      </c>
      <c r="J712" t="str">
        <f t="shared" si="68"/>
        <v>Rakshabandhan</v>
      </c>
      <c r="K712" t="str">
        <f t="shared" si="69"/>
        <v>Promoted</v>
      </c>
      <c r="L712" t="str">
        <f t="shared" si="70"/>
        <v>Known Employee</v>
      </c>
      <c r="M712">
        <f t="shared" si="66"/>
        <v>6</v>
      </c>
      <c r="N712" t="str">
        <f t="shared" si="71"/>
        <v>August</v>
      </c>
    </row>
    <row r="713" spans="1:14" x14ac:dyDescent="0.3">
      <c r="A713" s="2" t="s">
        <v>868</v>
      </c>
      <c r="B713" t="s">
        <v>186</v>
      </c>
      <c r="C713" s="2" t="s">
        <v>35</v>
      </c>
      <c r="D713" s="2" t="s">
        <v>36</v>
      </c>
      <c r="E713" s="2" t="s">
        <v>64</v>
      </c>
      <c r="F713" s="2" t="s">
        <v>14</v>
      </c>
      <c r="G713" s="3">
        <v>415</v>
      </c>
      <c r="H713" s="1" t="s">
        <v>869</v>
      </c>
      <c r="I713">
        <f t="shared" si="67"/>
        <v>8</v>
      </c>
      <c r="J713" t="str">
        <f t="shared" si="68"/>
        <v>Rakshabandhan</v>
      </c>
      <c r="K713" t="str">
        <f t="shared" si="69"/>
        <v>Promoted</v>
      </c>
      <c r="L713" t="str">
        <f t="shared" si="70"/>
        <v>Known Employee</v>
      </c>
      <c r="M713">
        <f t="shared" si="66"/>
        <v>7</v>
      </c>
      <c r="N713" t="str">
        <f t="shared" si="71"/>
        <v>August</v>
      </c>
    </row>
    <row r="714" spans="1:14" x14ac:dyDescent="0.3">
      <c r="A714" s="2" t="s">
        <v>537</v>
      </c>
      <c r="B714" t="s">
        <v>539</v>
      </c>
      <c r="C714" s="2" t="s">
        <v>35</v>
      </c>
      <c r="D714" s="2" t="s">
        <v>36</v>
      </c>
      <c r="E714" s="2" t="s">
        <v>64</v>
      </c>
      <c r="F714" s="2" t="s">
        <v>14</v>
      </c>
      <c r="G714" s="3">
        <v>230</v>
      </c>
      <c r="H714" s="1" t="s">
        <v>538</v>
      </c>
      <c r="I714">
        <f t="shared" si="67"/>
        <v>8</v>
      </c>
      <c r="J714" t="str">
        <f t="shared" si="68"/>
        <v>Rakshabandhan</v>
      </c>
      <c r="K714" t="str">
        <f t="shared" si="69"/>
        <v>Promoted</v>
      </c>
      <c r="L714" t="str">
        <f t="shared" si="70"/>
        <v>Known Employee</v>
      </c>
      <c r="M714">
        <f t="shared" ref="M714:M777" si="72">COUNTIF($B$1:$B$805, B714)</f>
        <v>1</v>
      </c>
      <c r="N714" t="str">
        <f t="shared" si="71"/>
        <v>August</v>
      </c>
    </row>
    <row r="715" spans="1:14" x14ac:dyDescent="0.3">
      <c r="A715" s="2" t="s">
        <v>1167</v>
      </c>
      <c r="B715" t="s">
        <v>1168</v>
      </c>
      <c r="C715" s="2" t="s">
        <v>29</v>
      </c>
      <c r="D715" s="2" t="s">
        <v>30</v>
      </c>
      <c r="E715" s="2" t="s">
        <v>13</v>
      </c>
      <c r="F715" s="2" t="s">
        <v>65</v>
      </c>
      <c r="G715" s="3">
        <v>481</v>
      </c>
      <c r="H715" s="1" t="s">
        <v>538</v>
      </c>
      <c r="I715">
        <f t="shared" si="67"/>
        <v>8</v>
      </c>
      <c r="J715" t="str">
        <f t="shared" si="68"/>
        <v>Rakshabandhan</v>
      </c>
      <c r="K715" t="str">
        <f t="shared" si="69"/>
        <v>Promoted</v>
      </c>
      <c r="L715" t="str">
        <f t="shared" si="70"/>
        <v>Known Employee</v>
      </c>
      <c r="M715">
        <f t="shared" si="72"/>
        <v>1</v>
      </c>
      <c r="N715" t="str">
        <f t="shared" si="71"/>
        <v>August</v>
      </c>
    </row>
    <row r="716" spans="1:14" x14ac:dyDescent="0.3">
      <c r="A716" s="2" t="s">
        <v>1930</v>
      </c>
      <c r="B716" t="s">
        <v>736</v>
      </c>
      <c r="C716" s="2" t="s">
        <v>18</v>
      </c>
      <c r="D716" s="2" t="s">
        <v>295</v>
      </c>
      <c r="E716" s="2" t="s">
        <v>1946</v>
      </c>
      <c r="F716" s="2" t="s">
        <v>14</v>
      </c>
      <c r="G716" s="3">
        <v>55</v>
      </c>
      <c r="H716" s="1" t="s">
        <v>1931</v>
      </c>
      <c r="I716">
        <f t="shared" si="67"/>
        <v>8</v>
      </c>
      <c r="J716" t="str">
        <f t="shared" si="68"/>
        <v>Rakshabandhan</v>
      </c>
      <c r="K716" t="str">
        <f t="shared" si="69"/>
        <v>Not Promoted</v>
      </c>
      <c r="L716" t="str">
        <f t="shared" si="70"/>
        <v>Known Employee</v>
      </c>
      <c r="M716">
        <f t="shared" si="72"/>
        <v>8</v>
      </c>
      <c r="N716" t="str">
        <f t="shared" si="71"/>
        <v>August</v>
      </c>
    </row>
    <row r="717" spans="1:14" x14ac:dyDescent="0.3">
      <c r="A717" s="2" t="s">
        <v>1746</v>
      </c>
      <c r="B717" t="s">
        <v>1227</v>
      </c>
      <c r="C717" s="2" t="s">
        <v>35</v>
      </c>
      <c r="D717" s="2" t="s">
        <v>72</v>
      </c>
      <c r="E717" s="2" t="s">
        <v>13</v>
      </c>
      <c r="F717" s="2" t="s">
        <v>25</v>
      </c>
      <c r="G717" s="3">
        <v>210</v>
      </c>
      <c r="H717" s="1" t="s">
        <v>1747</v>
      </c>
      <c r="I717">
        <f t="shared" si="67"/>
        <v>8</v>
      </c>
      <c r="J717" t="str">
        <f t="shared" si="68"/>
        <v>Rakshabandhan</v>
      </c>
      <c r="K717" t="str">
        <f t="shared" si="69"/>
        <v>Promoted</v>
      </c>
      <c r="L717" t="str">
        <f t="shared" si="70"/>
        <v>Known Employee</v>
      </c>
      <c r="M717">
        <f t="shared" si="72"/>
        <v>2</v>
      </c>
      <c r="N717" t="str">
        <f t="shared" si="71"/>
        <v>August</v>
      </c>
    </row>
    <row r="718" spans="1:14" x14ac:dyDescent="0.3">
      <c r="A718" s="2" t="s">
        <v>1335</v>
      </c>
      <c r="B718" t="s">
        <v>881</v>
      </c>
      <c r="C718" s="2" t="s">
        <v>35</v>
      </c>
      <c r="D718" s="2" t="s">
        <v>36</v>
      </c>
      <c r="E718" s="2" t="s">
        <v>13</v>
      </c>
      <c r="F718" s="2" t="s">
        <v>25</v>
      </c>
      <c r="G718" s="3">
        <v>440</v>
      </c>
      <c r="H718" s="1" t="s">
        <v>237</v>
      </c>
      <c r="I718">
        <f t="shared" si="67"/>
        <v>8</v>
      </c>
      <c r="J718" t="str">
        <f t="shared" si="68"/>
        <v>Rakshabandhan</v>
      </c>
      <c r="K718" t="str">
        <f t="shared" si="69"/>
        <v>Promoted</v>
      </c>
      <c r="L718" t="str">
        <f t="shared" si="70"/>
        <v>Known Employee</v>
      </c>
      <c r="M718">
        <f t="shared" si="72"/>
        <v>6</v>
      </c>
      <c r="N718" t="str">
        <f t="shared" si="71"/>
        <v>August</v>
      </c>
    </row>
    <row r="719" spans="1:14" x14ac:dyDescent="0.3">
      <c r="A719" s="2" t="s">
        <v>236</v>
      </c>
      <c r="B719" t="s">
        <v>238</v>
      </c>
      <c r="C719" s="2" t="s">
        <v>53</v>
      </c>
      <c r="D719" s="2" t="s">
        <v>104</v>
      </c>
      <c r="E719" s="2" t="s">
        <v>13</v>
      </c>
      <c r="F719" s="2" t="s">
        <v>65</v>
      </c>
      <c r="G719" s="3">
        <v>170</v>
      </c>
      <c r="H719" s="1" t="s">
        <v>237</v>
      </c>
      <c r="I719">
        <f t="shared" si="67"/>
        <v>8</v>
      </c>
      <c r="J719" t="str">
        <f t="shared" si="68"/>
        <v>Rakshabandhan</v>
      </c>
      <c r="K719" t="str">
        <f t="shared" si="69"/>
        <v>Promoted</v>
      </c>
      <c r="L719" t="str">
        <f t="shared" si="70"/>
        <v>Known Employee</v>
      </c>
      <c r="M719">
        <f t="shared" si="72"/>
        <v>6</v>
      </c>
      <c r="N719" t="str">
        <f t="shared" si="71"/>
        <v>August</v>
      </c>
    </row>
    <row r="720" spans="1:14" x14ac:dyDescent="0.3">
      <c r="A720" s="2" t="s">
        <v>1026</v>
      </c>
      <c r="B720" t="s">
        <v>1028</v>
      </c>
      <c r="C720" s="2" t="s">
        <v>29</v>
      </c>
      <c r="D720" s="2" t="s">
        <v>168</v>
      </c>
      <c r="E720" s="2" t="s">
        <v>13</v>
      </c>
      <c r="F720" s="2" t="s">
        <v>40</v>
      </c>
      <c r="G720" s="3">
        <v>795</v>
      </c>
      <c r="H720" s="1" t="s">
        <v>1027</v>
      </c>
      <c r="I720">
        <f t="shared" si="67"/>
        <v>8</v>
      </c>
      <c r="J720" t="str">
        <f t="shared" si="68"/>
        <v>Rakshabandhan</v>
      </c>
      <c r="K720" t="str">
        <f t="shared" si="69"/>
        <v>Promoted</v>
      </c>
      <c r="L720" t="str">
        <f t="shared" si="70"/>
        <v>Known Employee</v>
      </c>
      <c r="M720">
        <f t="shared" si="72"/>
        <v>1</v>
      </c>
      <c r="N720" t="str">
        <f t="shared" si="71"/>
        <v>August</v>
      </c>
    </row>
    <row r="721" spans="1:14" x14ac:dyDescent="0.3">
      <c r="A721" s="2" t="s">
        <v>613</v>
      </c>
      <c r="B721" t="s">
        <v>615</v>
      </c>
      <c r="C721" s="2" t="s">
        <v>29</v>
      </c>
      <c r="D721" s="2" t="s">
        <v>123</v>
      </c>
      <c r="E721" s="2" t="s">
        <v>13</v>
      </c>
      <c r="F721" s="2" t="s">
        <v>65</v>
      </c>
      <c r="G721" s="3">
        <v>150</v>
      </c>
      <c r="H721" s="1" t="s">
        <v>614</v>
      </c>
      <c r="I721">
        <f t="shared" si="67"/>
        <v>8</v>
      </c>
      <c r="J721" t="str">
        <f t="shared" si="68"/>
        <v>Rakshabandhan</v>
      </c>
      <c r="K721" t="str">
        <f t="shared" si="69"/>
        <v>Promoted</v>
      </c>
      <c r="L721" t="str">
        <f t="shared" si="70"/>
        <v>Known Employee</v>
      </c>
      <c r="M721">
        <f t="shared" si="72"/>
        <v>5</v>
      </c>
      <c r="N721" t="str">
        <f t="shared" si="71"/>
        <v>August</v>
      </c>
    </row>
    <row r="722" spans="1:14" x14ac:dyDescent="0.3">
      <c r="A722" s="2" t="s">
        <v>1591</v>
      </c>
      <c r="B722" t="s">
        <v>267</v>
      </c>
      <c r="C722" s="2" t="s">
        <v>157</v>
      </c>
      <c r="D722" s="2" t="s">
        <v>104</v>
      </c>
      <c r="E722" s="2" t="s">
        <v>13</v>
      </c>
      <c r="F722" s="2" t="s">
        <v>65</v>
      </c>
      <c r="G722" s="3">
        <v>625</v>
      </c>
      <c r="H722" s="1" t="s">
        <v>365</v>
      </c>
      <c r="I722">
        <f t="shared" si="67"/>
        <v>9</v>
      </c>
      <c r="J722" t="str">
        <f t="shared" si="68"/>
        <v>Navratri</v>
      </c>
      <c r="K722" t="str">
        <f t="shared" si="69"/>
        <v>Promoted</v>
      </c>
      <c r="L722" t="str">
        <f t="shared" si="70"/>
        <v>Known Employee</v>
      </c>
      <c r="M722">
        <f t="shared" si="72"/>
        <v>8</v>
      </c>
      <c r="N722" t="str">
        <f t="shared" si="71"/>
        <v>September</v>
      </c>
    </row>
    <row r="723" spans="1:14" x14ac:dyDescent="0.3">
      <c r="A723" s="2" t="s">
        <v>364</v>
      </c>
      <c r="B723" t="s">
        <v>366</v>
      </c>
      <c r="C723" s="2" t="s">
        <v>18</v>
      </c>
      <c r="D723" s="2" t="s">
        <v>19</v>
      </c>
      <c r="E723" s="2" t="s">
        <v>54</v>
      </c>
      <c r="F723" s="2" t="s">
        <v>25</v>
      </c>
      <c r="G723" s="3">
        <v>144.5</v>
      </c>
      <c r="H723" s="1" t="s">
        <v>365</v>
      </c>
      <c r="I723">
        <f t="shared" si="67"/>
        <v>9</v>
      </c>
      <c r="J723" t="str">
        <f t="shared" si="68"/>
        <v>Navratri</v>
      </c>
      <c r="K723" t="str">
        <f t="shared" si="69"/>
        <v>Promoted</v>
      </c>
      <c r="L723" t="str">
        <f t="shared" si="70"/>
        <v>Known Employee</v>
      </c>
      <c r="M723">
        <f t="shared" si="72"/>
        <v>3</v>
      </c>
      <c r="N723" t="str">
        <f t="shared" si="71"/>
        <v>September</v>
      </c>
    </row>
    <row r="724" spans="1:14" x14ac:dyDescent="0.3">
      <c r="A724" s="2" t="s">
        <v>839</v>
      </c>
      <c r="B724" t="s">
        <v>793</v>
      </c>
      <c r="C724" s="2" t="s">
        <v>29</v>
      </c>
      <c r="D724" s="2" t="s">
        <v>168</v>
      </c>
      <c r="E724" s="2" t="s">
        <v>64</v>
      </c>
      <c r="F724" s="2" t="s">
        <v>40</v>
      </c>
      <c r="G724" s="3">
        <v>454</v>
      </c>
      <c r="H724" s="1" t="s">
        <v>840</v>
      </c>
      <c r="I724">
        <f t="shared" si="67"/>
        <v>9</v>
      </c>
      <c r="J724" t="str">
        <f t="shared" si="68"/>
        <v>Navratri</v>
      </c>
      <c r="K724" t="str">
        <f t="shared" si="69"/>
        <v>Promoted</v>
      </c>
      <c r="L724" t="str">
        <f t="shared" si="70"/>
        <v>Known Employee</v>
      </c>
      <c r="M724">
        <f t="shared" si="72"/>
        <v>3</v>
      </c>
      <c r="N724" t="str">
        <f t="shared" si="71"/>
        <v>September</v>
      </c>
    </row>
    <row r="725" spans="1:14" x14ac:dyDescent="0.3">
      <c r="A725" s="2" t="s">
        <v>306</v>
      </c>
      <c r="B725" t="s">
        <v>308</v>
      </c>
      <c r="C725" s="2" t="s">
        <v>53</v>
      </c>
      <c r="D725" s="2" t="s">
        <v>76</v>
      </c>
      <c r="E725" s="2" t="s">
        <v>13</v>
      </c>
      <c r="F725" s="2" t="s">
        <v>14</v>
      </c>
      <c r="G725" s="3">
        <v>198</v>
      </c>
      <c r="H725" s="1" t="s">
        <v>307</v>
      </c>
      <c r="I725">
        <f t="shared" si="67"/>
        <v>9</v>
      </c>
      <c r="J725" t="str">
        <f t="shared" si="68"/>
        <v>Navratri</v>
      </c>
      <c r="K725" t="str">
        <f t="shared" si="69"/>
        <v>Promoted</v>
      </c>
      <c r="L725" t="str">
        <f t="shared" si="70"/>
        <v>Known Employee</v>
      </c>
      <c r="M725">
        <f t="shared" si="72"/>
        <v>4</v>
      </c>
      <c r="N725" t="str">
        <f t="shared" si="71"/>
        <v>September</v>
      </c>
    </row>
    <row r="726" spans="1:14" x14ac:dyDescent="0.3">
      <c r="A726" s="2" t="s">
        <v>1940</v>
      </c>
      <c r="B726" t="s">
        <v>134</v>
      </c>
      <c r="C726" s="2" t="s">
        <v>18</v>
      </c>
      <c r="D726" s="2" t="s">
        <v>1945</v>
      </c>
      <c r="E726" s="2" t="s">
        <v>1946</v>
      </c>
      <c r="F726" s="2" t="s">
        <v>65</v>
      </c>
      <c r="G726" s="3">
        <v>165.75</v>
      </c>
      <c r="H726" s="1" t="s">
        <v>307</v>
      </c>
      <c r="I726">
        <f t="shared" si="67"/>
        <v>9</v>
      </c>
      <c r="J726" t="str">
        <f t="shared" si="68"/>
        <v>Navratri</v>
      </c>
      <c r="K726" t="str">
        <f t="shared" si="69"/>
        <v>Not Promoted</v>
      </c>
      <c r="L726" t="str">
        <f t="shared" si="70"/>
        <v>Employee</v>
      </c>
      <c r="M726">
        <f t="shared" si="72"/>
        <v>5</v>
      </c>
      <c r="N726" t="str">
        <f t="shared" si="71"/>
        <v>September</v>
      </c>
    </row>
    <row r="727" spans="1:14" x14ac:dyDescent="0.3">
      <c r="A727" s="2" t="s">
        <v>1826</v>
      </c>
      <c r="B727" t="s">
        <v>497</v>
      </c>
      <c r="C727" s="2" t="s">
        <v>18</v>
      </c>
      <c r="D727" s="2" t="s">
        <v>19</v>
      </c>
      <c r="E727" s="2" t="s">
        <v>13</v>
      </c>
      <c r="F727" s="2" t="s">
        <v>40</v>
      </c>
      <c r="G727" s="3">
        <v>116</v>
      </c>
      <c r="H727" s="1" t="s">
        <v>1827</v>
      </c>
      <c r="I727">
        <f t="shared" si="67"/>
        <v>9</v>
      </c>
      <c r="J727" t="str">
        <f t="shared" si="68"/>
        <v>Navratri</v>
      </c>
      <c r="K727" t="str">
        <f t="shared" si="69"/>
        <v>Promoted</v>
      </c>
      <c r="L727" t="str">
        <f t="shared" si="70"/>
        <v>Known Employee</v>
      </c>
      <c r="M727">
        <f t="shared" si="72"/>
        <v>6</v>
      </c>
      <c r="N727" t="str">
        <f t="shared" si="71"/>
        <v>September</v>
      </c>
    </row>
    <row r="728" spans="1:14" x14ac:dyDescent="0.3">
      <c r="A728" s="2" t="s">
        <v>1542</v>
      </c>
      <c r="B728" t="s">
        <v>292</v>
      </c>
      <c r="C728" s="2" t="s">
        <v>18</v>
      </c>
      <c r="D728" s="2" t="s">
        <v>19</v>
      </c>
      <c r="E728" s="2" t="s">
        <v>13</v>
      </c>
      <c r="F728" s="2" t="s">
        <v>65</v>
      </c>
      <c r="G728" s="3">
        <v>239</v>
      </c>
      <c r="H728" s="1" t="s">
        <v>1543</v>
      </c>
      <c r="I728">
        <f t="shared" si="67"/>
        <v>9</v>
      </c>
      <c r="J728" t="str">
        <f t="shared" si="68"/>
        <v>Navratri</v>
      </c>
      <c r="K728" t="str">
        <f t="shared" si="69"/>
        <v>Promoted</v>
      </c>
      <c r="L728" t="str">
        <f t="shared" si="70"/>
        <v>Known Employee</v>
      </c>
      <c r="M728">
        <f t="shared" si="72"/>
        <v>5</v>
      </c>
      <c r="N728" t="str">
        <f t="shared" si="71"/>
        <v>September</v>
      </c>
    </row>
    <row r="729" spans="1:14" x14ac:dyDescent="0.3">
      <c r="A729" s="2" t="s">
        <v>912</v>
      </c>
      <c r="B729" t="s">
        <v>491</v>
      </c>
      <c r="C729" s="2" t="s">
        <v>53</v>
      </c>
      <c r="D729" s="2" t="s">
        <v>83</v>
      </c>
      <c r="E729" s="2" t="s">
        <v>24</v>
      </c>
      <c r="F729" s="2" t="s">
        <v>40</v>
      </c>
      <c r="G729" s="3">
        <v>633.6</v>
      </c>
      <c r="H729" s="1" t="s">
        <v>59</v>
      </c>
      <c r="I729">
        <f t="shared" si="67"/>
        <v>9</v>
      </c>
      <c r="J729" t="str">
        <f t="shared" si="68"/>
        <v>Navratri</v>
      </c>
      <c r="K729" t="str">
        <f t="shared" si="69"/>
        <v>Promoted</v>
      </c>
      <c r="L729" t="str">
        <f t="shared" si="70"/>
        <v>Known Employee</v>
      </c>
      <c r="M729">
        <f t="shared" si="72"/>
        <v>5</v>
      </c>
      <c r="N729" t="str">
        <f t="shared" si="71"/>
        <v>September</v>
      </c>
    </row>
    <row r="730" spans="1:14" x14ac:dyDescent="0.3">
      <c r="A730" s="2" t="s">
        <v>1911</v>
      </c>
      <c r="B730" t="s">
        <v>520</v>
      </c>
      <c r="C730" s="2" t="s">
        <v>35</v>
      </c>
      <c r="D730" s="2" t="s">
        <v>72</v>
      </c>
      <c r="E730" s="2" t="s">
        <v>13</v>
      </c>
      <c r="F730" s="2" t="s">
        <v>14</v>
      </c>
      <c r="G730" s="3">
        <v>700</v>
      </c>
      <c r="H730" s="1" t="s">
        <v>59</v>
      </c>
      <c r="I730">
        <f t="shared" si="67"/>
        <v>9</v>
      </c>
      <c r="J730" t="str">
        <f t="shared" si="68"/>
        <v>Navratri</v>
      </c>
      <c r="K730" t="str">
        <f t="shared" si="69"/>
        <v>Promoted</v>
      </c>
      <c r="L730" t="str">
        <f t="shared" si="70"/>
        <v>Known Employee</v>
      </c>
      <c r="M730">
        <f t="shared" si="72"/>
        <v>5</v>
      </c>
      <c r="N730" t="str">
        <f t="shared" si="71"/>
        <v>September</v>
      </c>
    </row>
    <row r="731" spans="1:14" x14ac:dyDescent="0.3">
      <c r="A731" s="2" t="s">
        <v>1100</v>
      </c>
      <c r="B731" t="s">
        <v>107</v>
      </c>
      <c r="C731" s="2" t="s">
        <v>35</v>
      </c>
      <c r="D731" s="2" t="s">
        <v>44</v>
      </c>
      <c r="E731" s="2" t="s">
        <v>13</v>
      </c>
      <c r="F731" s="2" t="s">
        <v>40</v>
      </c>
      <c r="G731" s="3">
        <v>95</v>
      </c>
      <c r="H731" s="1" t="s">
        <v>1101</v>
      </c>
      <c r="I731">
        <f t="shared" si="67"/>
        <v>9</v>
      </c>
      <c r="J731" t="str">
        <f t="shared" si="68"/>
        <v>Navratri</v>
      </c>
      <c r="K731" t="str">
        <f t="shared" si="69"/>
        <v>Promoted</v>
      </c>
      <c r="L731" t="str">
        <f t="shared" si="70"/>
        <v>Known Employee</v>
      </c>
      <c r="M731">
        <f t="shared" si="72"/>
        <v>5</v>
      </c>
      <c r="N731" t="str">
        <f t="shared" si="71"/>
        <v>September</v>
      </c>
    </row>
    <row r="732" spans="1:14" x14ac:dyDescent="0.3">
      <c r="A732" s="2" t="s">
        <v>1790</v>
      </c>
      <c r="B732" t="s">
        <v>1789</v>
      </c>
      <c r="C732" s="2" t="s">
        <v>35</v>
      </c>
      <c r="D732" s="2" t="s">
        <v>44</v>
      </c>
      <c r="E732" s="2" t="s">
        <v>24</v>
      </c>
      <c r="F732" s="2" t="s">
        <v>14</v>
      </c>
      <c r="G732" s="3">
        <v>378.9</v>
      </c>
      <c r="H732" s="1" t="s">
        <v>1791</v>
      </c>
      <c r="I732">
        <f t="shared" si="67"/>
        <v>9</v>
      </c>
      <c r="J732" t="str">
        <f t="shared" si="68"/>
        <v>Navratri</v>
      </c>
      <c r="K732" t="str">
        <f t="shared" si="69"/>
        <v>Promoted</v>
      </c>
      <c r="L732" t="str">
        <f t="shared" si="70"/>
        <v>Known Employee</v>
      </c>
      <c r="M732">
        <f t="shared" si="72"/>
        <v>2</v>
      </c>
      <c r="N732" t="str">
        <f t="shared" si="71"/>
        <v>September</v>
      </c>
    </row>
    <row r="733" spans="1:14" x14ac:dyDescent="0.3">
      <c r="A733" s="2" t="s">
        <v>1057</v>
      </c>
      <c r="B733" t="s">
        <v>534</v>
      </c>
      <c r="C733" s="2" t="s">
        <v>18</v>
      </c>
      <c r="D733" s="2" t="s">
        <v>19</v>
      </c>
      <c r="E733" s="2" t="s">
        <v>13</v>
      </c>
      <c r="F733" s="2" t="s">
        <v>65</v>
      </c>
      <c r="G733" s="3">
        <v>340</v>
      </c>
      <c r="H733" s="1" t="s">
        <v>1058</v>
      </c>
      <c r="I733">
        <f t="shared" si="67"/>
        <v>9</v>
      </c>
      <c r="J733" t="str">
        <f t="shared" si="68"/>
        <v>Navratri</v>
      </c>
      <c r="K733" t="str">
        <f t="shared" si="69"/>
        <v>Promoted</v>
      </c>
      <c r="L733" t="str">
        <f t="shared" si="70"/>
        <v>Known Employee</v>
      </c>
      <c r="M733">
        <f t="shared" si="72"/>
        <v>5</v>
      </c>
      <c r="N733" t="str">
        <f t="shared" si="71"/>
        <v>September</v>
      </c>
    </row>
    <row r="734" spans="1:14" x14ac:dyDescent="0.3">
      <c r="A734" s="2" t="s">
        <v>576</v>
      </c>
      <c r="B734" t="s">
        <v>578</v>
      </c>
      <c r="C734" s="2" t="s">
        <v>29</v>
      </c>
      <c r="D734" s="2" t="s">
        <v>123</v>
      </c>
      <c r="E734" s="2" t="s">
        <v>158</v>
      </c>
      <c r="F734" s="2" t="s">
        <v>14</v>
      </c>
      <c r="G734" s="3">
        <v>546.25</v>
      </c>
      <c r="H734" s="1" t="s">
        <v>577</v>
      </c>
      <c r="I734">
        <f t="shared" si="67"/>
        <v>9</v>
      </c>
      <c r="J734" t="str">
        <f t="shared" si="68"/>
        <v>Navratri</v>
      </c>
      <c r="K734" t="str">
        <f t="shared" si="69"/>
        <v>Promoted</v>
      </c>
      <c r="L734" t="str">
        <f t="shared" si="70"/>
        <v>Known Employee</v>
      </c>
      <c r="M734">
        <f t="shared" si="72"/>
        <v>2</v>
      </c>
      <c r="N734" t="str">
        <f t="shared" si="71"/>
        <v>September</v>
      </c>
    </row>
    <row r="735" spans="1:14" x14ac:dyDescent="0.3">
      <c r="A735" s="2" t="s">
        <v>135</v>
      </c>
      <c r="B735" t="s">
        <v>137</v>
      </c>
      <c r="C735" s="2" t="s">
        <v>53</v>
      </c>
      <c r="D735" s="2" t="s">
        <v>138</v>
      </c>
      <c r="E735" s="2" t="s">
        <v>13</v>
      </c>
      <c r="F735" s="2" t="s">
        <v>65</v>
      </c>
      <c r="G735" s="3">
        <v>318</v>
      </c>
      <c r="H735" s="1" t="s">
        <v>136</v>
      </c>
      <c r="I735">
        <f t="shared" si="67"/>
        <v>9</v>
      </c>
      <c r="J735" t="str">
        <f t="shared" si="68"/>
        <v>Navratri</v>
      </c>
      <c r="K735" t="str">
        <f t="shared" si="69"/>
        <v>Promoted</v>
      </c>
      <c r="L735" t="str">
        <f t="shared" si="70"/>
        <v>Known Employee</v>
      </c>
      <c r="M735">
        <f t="shared" si="72"/>
        <v>7</v>
      </c>
      <c r="N735" t="str">
        <f t="shared" si="71"/>
        <v>September</v>
      </c>
    </row>
    <row r="736" spans="1:14" x14ac:dyDescent="0.3">
      <c r="A736" s="2" t="s">
        <v>1358</v>
      </c>
      <c r="B736" t="s">
        <v>264</v>
      </c>
      <c r="C736" s="2" t="s">
        <v>29</v>
      </c>
      <c r="D736" s="2" t="s">
        <v>1945</v>
      </c>
      <c r="E736" s="2" t="s">
        <v>158</v>
      </c>
      <c r="F736" s="2" t="s">
        <v>25</v>
      </c>
      <c r="G736" s="3">
        <v>47.5</v>
      </c>
      <c r="H736" s="1" t="s">
        <v>1359</v>
      </c>
      <c r="I736">
        <f t="shared" si="67"/>
        <v>9</v>
      </c>
      <c r="J736" t="str">
        <f t="shared" si="68"/>
        <v>Navratri</v>
      </c>
      <c r="K736" t="str">
        <f t="shared" si="69"/>
        <v>Promoted</v>
      </c>
      <c r="L736" t="str">
        <f t="shared" si="70"/>
        <v>Employee</v>
      </c>
      <c r="M736">
        <f t="shared" si="72"/>
        <v>6</v>
      </c>
      <c r="N736" t="str">
        <f t="shared" si="71"/>
        <v>September</v>
      </c>
    </row>
    <row r="737" spans="1:14" x14ac:dyDescent="0.3">
      <c r="A737" s="2" t="s">
        <v>1932</v>
      </c>
      <c r="B737" t="s">
        <v>1105</v>
      </c>
      <c r="C737" s="2" t="s">
        <v>35</v>
      </c>
      <c r="D737" s="2" t="s">
        <v>140</v>
      </c>
      <c r="E737" s="2" t="s">
        <v>13</v>
      </c>
      <c r="F737" s="2" t="s">
        <v>40</v>
      </c>
      <c r="G737" s="3">
        <v>140</v>
      </c>
      <c r="H737" s="1" t="s">
        <v>800</v>
      </c>
      <c r="I737">
        <f t="shared" si="67"/>
        <v>9</v>
      </c>
      <c r="J737" t="str">
        <f t="shared" si="68"/>
        <v>Navratri</v>
      </c>
      <c r="K737" t="str">
        <f t="shared" si="69"/>
        <v>Promoted</v>
      </c>
      <c r="L737" t="str">
        <f t="shared" si="70"/>
        <v>Known Employee</v>
      </c>
      <c r="M737">
        <f t="shared" si="72"/>
        <v>2</v>
      </c>
      <c r="N737" t="str">
        <f t="shared" si="71"/>
        <v>September</v>
      </c>
    </row>
    <row r="738" spans="1:14" x14ac:dyDescent="0.3">
      <c r="A738" s="2" t="s">
        <v>799</v>
      </c>
      <c r="B738" t="s">
        <v>68</v>
      </c>
      <c r="C738" s="2" t="s">
        <v>29</v>
      </c>
      <c r="D738" s="2" t="s">
        <v>200</v>
      </c>
      <c r="E738" s="2" t="s">
        <v>13</v>
      </c>
      <c r="F738" s="2" t="s">
        <v>25</v>
      </c>
      <c r="G738" s="3">
        <v>60</v>
      </c>
      <c r="H738" s="1" t="s">
        <v>800</v>
      </c>
      <c r="I738">
        <f t="shared" si="67"/>
        <v>9</v>
      </c>
      <c r="J738" t="str">
        <f t="shared" si="68"/>
        <v>Navratri</v>
      </c>
      <c r="K738" t="str">
        <f t="shared" si="69"/>
        <v>Promoted</v>
      </c>
      <c r="L738" t="str">
        <f t="shared" si="70"/>
        <v>Known Employee</v>
      </c>
      <c r="M738">
        <f t="shared" si="72"/>
        <v>4</v>
      </c>
      <c r="N738" t="str">
        <f t="shared" si="71"/>
        <v>September</v>
      </c>
    </row>
    <row r="739" spans="1:14" x14ac:dyDescent="0.3">
      <c r="A739" s="2" t="s">
        <v>1275</v>
      </c>
      <c r="B739" t="s">
        <v>171</v>
      </c>
      <c r="C739" s="2" t="s">
        <v>29</v>
      </c>
      <c r="D739" s="2" t="s">
        <v>123</v>
      </c>
      <c r="E739" s="2" t="s">
        <v>13</v>
      </c>
      <c r="F739" s="2" t="s">
        <v>25</v>
      </c>
      <c r="G739" s="3">
        <v>204</v>
      </c>
      <c r="H739" s="1" t="s">
        <v>1276</v>
      </c>
      <c r="I739">
        <f t="shared" si="67"/>
        <v>9</v>
      </c>
      <c r="J739" t="str">
        <f t="shared" si="68"/>
        <v>Navratri</v>
      </c>
      <c r="K739" t="str">
        <f t="shared" si="69"/>
        <v>Promoted</v>
      </c>
      <c r="L739" t="str">
        <f t="shared" si="70"/>
        <v>Known Employee</v>
      </c>
      <c r="M739">
        <f t="shared" si="72"/>
        <v>3</v>
      </c>
      <c r="N739" t="str">
        <f t="shared" si="71"/>
        <v>September</v>
      </c>
    </row>
    <row r="740" spans="1:14" x14ac:dyDescent="0.3">
      <c r="A740" s="2" t="s">
        <v>1919</v>
      </c>
      <c r="B740" t="s">
        <v>63</v>
      </c>
      <c r="C740" s="2" t="s">
        <v>35</v>
      </c>
      <c r="D740" s="2" t="s">
        <v>140</v>
      </c>
      <c r="E740" s="2" t="s">
        <v>13</v>
      </c>
      <c r="F740" s="2" t="s">
        <v>25</v>
      </c>
      <c r="G740" s="3">
        <v>100</v>
      </c>
      <c r="H740" s="1" t="s">
        <v>1920</v>
      </c>
      <c r="I740">
        <f t="shared" si="67"/>
        <v>10</v>
      </c>
      <c r="J740" t="str">
        <f t="shared" si="68"/>
        <v>Diwali</v>
      </c>
      <c r="K740" t="str">
        <f t="shared" si="69"/>
        <v>Promoted</v>
      </c>
      <c r="L740" t="str">
        <f t="shared" si="70"/>
        <v>Known Employee</v>
      </c>
      <c r="M740">
        <f t="shared" si="72"/>
        <v>5</v>
      </c>
      <c r="N740" t="str">
        <f t="shared" si="71"/>
        <v>October</v>
      </c>
    </row>
    <row r="741" spans="1:14" x14ac:dyDescent="0.3">
      <c r="A741" s="2" t="s">
        <v>1503</v>
      </c>
      <c r="B741" t="s">
        <v>681</v>
      </c>
      <c r="C741" s="2" t="s">
        <v>29</v>
      </c>
      <c r="D741" s="2" t="s">
        <v>200</v>
      </c>
      <c r="E741" s="2" t="s">
        <v>13</v>
      </c>
      <c r="F741" s="2" t="s">
        <v>65</v>
      </c>
      <c r="G741" s="3">
        <v>360</v>
      </c>
      <c r="H741" s="1" t="s">
        <v>545</v>
      </c>
      <c r="I741">
        <f t="shared" si="67"/>
        <v>10</v>
      </c>
      <c r="J741" t="str">
        <f t="shared" si="68"/>
        <v>Diwali</v>
      </c>
      <c r="K741" t="str">
        <f t="shared" si="69"/>
        <v>Promoted</v>
      </c>
      <c r="L741" t="str">
        <f t="shared" si="70"/>
        <v>Known Employee</v>
      </c>
      <c r="M741">
        <f t="shared" si="72"/>
        <v>4</v>
      </c>
      <c r="N741" t="str">
        <f t="shared" si="71"/>
        <v>October</v>
      </c>
    </row>
    <row r="742" spans="1:14" x14ac:dyDescent="0.3">
      <c r="A742" s="2" t="s">
        <v>544</v>
      </c>
      <c r="B742" t="s">
        <v>261</v>
      </c>
      <c r="C742" s="2" t="s">
        <v>18</v>
      </c>
      <c r="D742" s="2" t="s">
        <v>87</v>
      </c>
      <c r="E742" s="2" t="s">
        <v>1946</v>
      </c>
      <c r="F742" s="2" t="s">
        <v>14</v>
      </c>
      <c r="G742" s="3">
        <v>389.7</v>
      </c>
      <c r="H742" s="1" t="s">
        <v>545</v>
      </c>
      <c r="I742">
        <f t="shared" si="67"/>
        <v>10</v>
      </c>
      <c r="J742" t="str">
        <f t="shared" si="68"/>
        <v>Diwali</v>
      </c>
      <c r="K742" t="str">
        <f t="shared" si="69"/>
        <v>Not Promoted</v>
      </c>
      <c r="L742" t="str">
        <f t="shared" si="70"/>
        <v>Known Employee</v>
      </c>
      <c r="M742">
        <f t="shared" si="72"/>
        <v>4</v>
      </c>
      <c r="N742" t="str">
        <f t="shared" si="71"/>
        <v>October</v>
      </c>
    </row>
    <row r="743" spans="1:14" x14ac:dyDescent="0.3">
      <c r="A743" s="2" t="s">
        <v>987</v>
      </c>
      <c r="B743" t="s">
        <v>988</v>
      </c>
      <c r="C743" s="2" t="s">
        <v>53</v>
      </c>
      <c r="D743" s="2" t="s">
        <v>118</v>
      </c>
      <c r="E743" s="2" t="s">
        <v>1946</v>
      </c>
      <c r="F743" s="2" t="s">
        <v>14</v>
      </c>
      <c r="G743" s="3">
        <v>165</v>
      </c>
      <c r="H743" s="1" t="s">
        <v>943</v>
      </c>
      <c r="I743">
        <f t="shared" si="67"/>
        <v>10</v>
      </c>
      <c r="J743" t="str">
        <f t="shared" si="68"/>
        <v>Diwali</v>
      </c>
      <c r="K743" t="str">
        <f t="shared" si="69"/>
        <v>Not Promoted</v>
      </c>
      <c r="L743" t="str">
        <f t="shared" si="70"/>
        <v>Known Employee</v>
      </c>
      <c r="M743">
        <f t="shared" si="72"/>
        <v>3</v>
      </c>
      <c r="N743" t="str">
        <f t="shared" si="71"/>
        <v>October</v>
      </c>
    </row>
    <row r="744" spans="1:14" x14ac:dyDescent="0.3">
      <c r="A744" s="2" t="s">
        <v>942</v>
      </c>
      <c r="B744" t="s">
        <v>343</v>
      </c>
      <c r="C744" s="2" t="s">
        <v>53</v>
      </c>
      <c r="D744" s="2" t="s">
        <v>138</v>
      </c>
      <c r="E744" s="2" t="s">
        <v>54</v>
      </c>
      <c r="F744" s="2" t="s">
        <v>40</v>
      </c>
      <c r="G744" s="3">
        <v>544.85</v>
      </c>
      <c r="H744" s="1" t="s">
        <v>943</v>
      </c>
      <c r="I744">
        <f t="shared" si="67"/>
        <v>10</v>
      </c>
      <c r="J744" t="str">
        <f t="shared" si="68"/>
        <v>Diwali</v>
      </c>
      <c r="K744" t="str">
        <f t="shared" si="69"/>
        <v>Promoted</v>
      </c>
      <c r="L744" t="str">
        <f t="shared" si="70"/>
        <v>Known Employee</v>
      </c>
      <c r="M744">
        <f t="shared" si="72"/>
        <v>7</v>
      </c>
      <c r="N744" t="str">
        <f t="shared" si="71"/>
        <v>October</v>
      </c>
    </row>
    <row r="745" spans="1:14" x14ac:dyDescent="0.3">
      <c r="A745" s="2" t="s">
        <v>1750</v>
      </c>
      <c r="B745" t="s">
        <v>881</v>
      </c>
      <c r="C745" s="2" t="s">
        <v>35</v>
      </c>
      <c r="D745" s="2" t="s">
        <v>72</v>
      </c>
      <c r="E745" s="2" t="s">
        <v>158</v>
      </c>
      <c r="F745" s="2" t="s">
        <v>25</v>
      </c>
      <c r="G745" s="3">
        <v>52.25</v>
      </c>
      <c r="H745" s="1" t="s">
        <v>1751</v>
      </c>
      <c r="I745">
        <f t="shared" si="67"/>
        <v>10</v>
      </c>
      <c r="J745" t="str">
        <f t="shared" si="68"/>
        <v>Diwali</v>
      </c>
      <c r="K745" t="str">
        <f t="shared" si="69"/>
        <v>Promoted</v>
      </c>
      <c r="L745" t="str">
        <f t="shared" si="70"/>
        <v>Known Employee</v>
      </c>
      <c r="M745">
        <f t="shared" si="72"/>
        <v>6</v>
      </c>
      <c r="N745" t="str">
        <f t="shared" si="71"/>
        <v>October</v>
      </c>
    </row>
    <row r="746" spans="1:14" x14ac:dyDescent="0.3">
      <c r="A746" s="2" t="s">
        <v>80</v>
      </c>
      <c r="B746" t="s">
        <v>82</v>
      </c>
      <c r="C746" s="2" t="s">
        <v>53</v>
      </c>
      <c r="D746" s="2" t="s">
        <v>83</v>
      </c>
      <c r="E746" s="2" t="s">
        <v>13</v>
      </c>
      <c r="F746" s="2" t="s">
        <v>25</v>
      </c>
      <c r="G746" s="3">
        <v>245</v>
      </c>
      <c r="H746" s="1" t="s">
        <v>1949</v>
      </c>
      <c r="I746">
        <f t="shared" si="67"/>
        <v>10</v>
      </c>
      <c r="J746" t="str">
        <f t="shared" si="68"/>
        <v>Diwali</v>
      </c>
      <c r="K746" t="str">
        <f t="shared" si="69"/>
        <v>Promoted</v>
      </c>
      <c r="L746" t="str">
        <f t="shared" si="70"/>
        <v>Known Employee</v>
      </c>
      <c r="M746">
        <f t="shared" si="72"/>
        <v>5</v>
      </c>
      <c r="N746" t="str">
        <f t="shared" si="71"/>
        <v>October</v>
      </c>
    </row>
    <row r="747" spans="1:14" x14ac:dyDescent="0.3">
      <c r="A747" s="2" t="s">
        <v>648</v>
      </c>
      <c r="B747" t="s">
        <v>75</v>
      </c>
      <c r="C747" s="2" t="s">
        <v>29</v>
      </c>
      <c r="D747" s="2" t="s">
        <v>123</v>
      </c>
      <c r="E747" s="2" t="s">
        <v>13</v>
      </c>
      <c r="F747" s="2" t="s">
        <v>65</v>
      </c>
      <c r="G747" s="3">
        <v>188</v>
      </c>
      <c r="H747" s="1" t="s">
        <v>649</v>
      </c>
      <c r="I747">
        <f t="shared" si="67"/>
        <v>10</v>
      </c>
      <c r="J747" t="str">
        <f t="shared" si="68"/>
        <v>Diwali</v>
      </c>
      <c r="K747" t="str">
        <f t="shared" si="69"/>
        <v>Promoted</v>
      </c>
      <c r="L747" t="str">
        <f t="shared" si="70"/>
        <v>Known Employee</v>
      </c>
      <c r="M747">
        <f t="shared" si="72"/>
        <v>7</v>
      </c>
      <c r="N747" t="str">
        <f t="shared" si="71"/>
        <v>October</v>
      </c>
    </row>
    <row r="748" spans="1:14" x14ac:dyDescent="0.3">
      <c r="A748" s="2" t="s">
        <v>515</v>
      </c>
      <c r="B748" t="s">
        <v>517</v>
      </c>
      <c r="C748" s="2" t="s">
        <v>29</v>
      </c>
      <c r="D748" s="2" t="s">
        <v>123</v>
      </c>
      <c r="E748" s="2" t="s">
        <v>158</v>
      </c>
      <c r="F748" s="2" t="s">
        <v>40</v>
      </c>
      <c r="G748" s="3">
        <v>392.35</v>
      </c>
      <c r="H748" s="1" t="s">
        <v>516</v>
      </c>
      <c r="I748">
        <f t="shared" si="67"/>
        <v>10</v>
      </c>
      <c r="J748" t="str">
        <f t="shared" si="68"/>
        <v>Diwali</v>
      </c>
      <c r="K748" t="str">
        <f t="shared" si="69"/>
        <v>Promoted</v>
      </c>
      <c r="L748" t="str">
        <f t="shared" si="70"/>
        <v>Known Employee</v>
      </c>
      <c r="M748">
        <f t="shared" si="72"/>
        <v>5</v>
      </c>
      <c r="N748" t="str">
        <f t="shared" si="71"/>
        <v>October</v>
      </c>
    </row>
    <row r="749" spans="1:14" x14ac:dyDescent="0.3">
      <c r="A749" s="2" t="s">
        <v>1317</v>
      </c>
      <c r="B749" t="s">
        <v>174</v>
      </c>
      <c r="C749" s="2" t="s">
        <v>29</v>
      </c>
      <c r="D749" s="2" t="s">
        <v>49</v>
      </c>
      <c r="E749" s="2" t="s">
        <v>13</v>
      </c>
      <c r="F749" s="2" t="s">
        <v>14</v>
      </c>
      <c r="G749" s="3">
        <v>50</v>
      </c>
      <c r="H749" s="1" t="s">
        <v>1318</v>
      </c>
      <c r="I749">
        <f t="shared" si="67"/>
        <v>10</v>
      </c>
      <c r="J749" t="str">
        <f t="shared" si="68"/>
        <v>Diwali</v>
      </c>
      <c r="K749" t="str">
        <f t="shared" si="69"/>
        <v>Promoted</v>
      </c>
      <c r="L749" t="str">
        <f t="shared" si="70"/>
        <v>Known Employee</v>
      </c>
      <c r="M749">
        <f t="shared" si="72"/>
        <v>9</v>
      </c>
      <c r="N749" t="str">
        <f t="shared" si="71"/>
        <v>October</v>
      </c>
    </row>
    <row r="750" spans="1:14" x14ac:dyDescent="0.3">
      <c r="A750" s="2" t="s">
        <v>1544</v>
      </c>
      <c r="B750" t="s">
        <v>343</v>
      </c>
      <c r="C750" s="2" t="s">
        <v>53</v>
      </c>
      <c r="D750" s="2" t="s">
        <v>83</v>
      </c>
      <c r="E750" s="2" t="s">
        <v>13</v>
      </c>
      <c r="F750" s="2" t="s">
        <v>65</v>
      </c>
      <c r="G750" s="3">
        <v>630</v>
      </c>
      <c r="H750" s="1" t="s">
        <v>1545</v>
      </c>
      <c r="I750">
        <f t="shared" si="67"/>
        <v>10</v>
      </c>
      <c r="J750" t="str">
        <f t="shared" si="68"/>
        <v>Diwali</v>
      </c>
      <c r="K750" t="str">
        <f t="shared" si="69"/>
        <v>Promoted</v>
      </c>
      <c r="L750" t="str">
        <f t="shared" si="70"/>
        <v>Known Employee</v>
      </c>
      <c r="M750">
        <f t="shared" si="72"/>
        <v>7</v>
      </c>
      <c r="N750" t="str">
        <f t="shared" si="71"/>
        <v>October</v>
      </c>
    </row>
    <row r="751" spans="1:14" x14ac:dyDescent="0.3">
      <c r="A751" s="2" t="s">
        <v>1713</v>
      </c>
      <c r="B751" t="s">
        <v>454</v>
      </c>
      <c r="C751" s="2" t="s">
        <v>18</v>
      </c>
      <c r="D751" s="2" t="s">
        <v>19</v>
      </c>
      <c r="E751" s="2" t="s">
        <v>13</v>
      </c>
      <c r="F751" s="2" t="s">
        <v>14</v>
      </c>
      <c r="G751" s="3">
        <v>617</v>
      </c>
      <c r="H751" s="1" t="s">
        <v>1714</v>
      </c>
      <c r="I751">
        <f t="shared" si="67"/>
        <v>10</v>
      </c>
      <c r="J751" t="str">
        <f t="shared" si="68"/>
        <v>Diwali</v>
      </c>
      <c r="K751" t="str">
        <f t="shared" si="69"/>
        <v>Promoted</v>
      </c>
      <c r="L751" t="str">
        <f t="shared" si="70"/>
        <v>Known Employee</v>
      </c>
      <c r="M751">
        <f t="shared" si="72"/>
        <v>4</v>
      </c>
      <c r="N751" t="str">
        <f t="shared" si="71"/>
        <v>October</v>
      </c>
    </row>
    <row r="752" spans="1:14" x14ac:dyDescent="0.3">
      <c r="A752" s="2" t="s">
        <v>301</v>
      </c>
      <c r="B752" t="s">
        <v>303</v>
      </c>
      <c r="C752" s="2" t="s">
        <v>157</v>
      </c>
      <c r="D752" s="2" t="s">
        <v>118</v>
      </c>
      <c r="E752" s="2" t="s">
        <v>1946</v>
      </c>
      <c r="F752" s="2" t="s">
        <v>25</v>
      </c>
      <c r="G752" s="3">
        <v>188</v>
      </c>
      <c r="H752" s="1" t="s">
        <v>302</v>
      </c>
      <c r="I752">
        <f t="shared" si="67"/>
        <v>10</v>
      </c>
      <c r="J752" t="str">
        <f t="shared" si="68"/>
        <v>Diwali</v>
      </c>
      <c r="K752" t="str">
        <f t="shared" si="69"/>
        <v>Not Promoted</v>
      </c>
      <c r="L752" t="str">
        <f t="shared" si="70"/>
        <v>Known Employee</v>
      </c>
      <c r="M752">
        <f t="shared" si="72"/>
        <v>7</v>
      </c>
      <c r="N752" t="str">
        <f t="shared" si="71"/>
        <v>October</v>
      </c>
    </row>
    <row r="753" spans="1:14" x14ac:dyDescent="0.3">
      <c r="A753" s="2" t="s">
        <v>1706</v>
      </c>
      <c r="B753" t="s">
        <v>710</v>
      </c>
      <c r="C753" s="2" t="s">
        <v>35</v>
      </c>
      <c r="D753" s="2" t="s">
        <v>36</v>
      </c>
      <c r="E753" s="2" t="s">
        <v>54</v>
      </c>
      <c r="F753" s="2" t="s">
        <v>25</v>
      </c>
      <c r="G753" s="3">
        <v>451.35</v>
      </c>
      <c r="H753" s="1" t="s">
        <v>1969</v>
      </c>
      <c r="I753">
        <f t="shared" si="67"/>
        <v>10</v>
      </c>
      <c r="J753" t="str">
        <f t="shared" si="68"/>
        <v>Diwali</v>
      </c>
      <c r="K753" t="str">
        <f t="shared" si="69"/>
        <v>Promoted</v>
      </c>
      <c r="L753" t="str">
        <f t="shared" si="70"/>
        <v>Known Employee</v>
      </c>
      <c r="M753">
        <f t="shared" si="72"/>
        <v>5</v>
      </c>
      <c r="N753" t="str">
        <f t="shared" si="71"/>
        <v>October</v>
      </c>
    </row>
    <row r="754" spans="1:14" x14ac:dyDescent="0.3">
      <c r="A754" s="2" t="s">
        <v>755</v>
      </c>
      <c r="B754" t="s">
        <v>147</v>
      </c>
      <c r="C754" s="2" t="s">
        <v>18</v>
      </c>
      <c r="D754" s="2" t="s">
        <v>12</v>
      </c>
      <c r="E754" s="2" t="s">
        <v>158</v>
      </c>
      <c r="F754" s="2" t="s">
        <v>65</v>
      </c>
      <c r="G754" s="3">
        <v>432.25</v>
      </c>
      <c r="H754" s="1" t="s">
        <v>756</v>
      </c>
      <c r="I754">
        <f t="shared" si="67"/>
        <v>10</v>
      </c>
      <c r="J754" t="str">
        <f t="shared" si="68"/>
        <v>Diwali</v>
      </c>
      <c r="K754" t="str">
        <f t="shared" si="69"/>
        <v>Promoted</v>
      </c>
      <c r="L754" t="str">
        <f t="shared" si="70"/>
        <v>Known Employee</v>
      </c>
      <c r="M754">
        <f t="shared" si="72"/>
        <v>4</v>
      </c>
      <c r="N754" t="str">
        <f t="shared" si="71"/>
        <v>October</v>
      </c>
    </row>
    <row r="755" spans="1:14" x14ac:dyDescent="0.3">
      <c r="A755" s="2" t="s">
        <v>698</v>
      </c>
      <c r="B755" t="s">
        <v>700</v>
      </c>
      <c r="C755" s="2" t="s">
        <v>35</v>
      </c>
      <c r="D755" s="2" t="s">
        <v>340</v>
      </c>
      <c r="E755" s="2" t="s">
        <v>64</v>
      </c>
      <c r="F755" s="2" t="s">
        <v>1945</v>
      </c>
      <c r="G755" s="3">
        <v>143</v>
      </c>
      <c r="H755" s="1" t="s">
        <v>699</v>
      </c>
      <c r="I755">
        <f t="shared" si="67"/>
        <v>10</v>
      </c>
      <c r="J755" t="str">
        <f t="shared" si="68"/>
        <v>Diwali</v>
      </c>
      <c r="K755" t="str">
        <f t="shared" si="69"/>
        <v>Promoted</v>
      </c>
      <c r="L755" t="str">
        <f t="shared" si="70"/>
        <v>Known Employee</v>
      </c>
      <c r="M755">
        <f t="shared" si="72"/>
        <v>3</v>
      </c>
      <c r="N755" t="str">
        <f t="shared" si="71"/>
        <v>October</v>
      </c>
    </row>
    <row r="756" spans="1:14" x14ac:dyDescent="0.3">
      <c r="A756" s="2" t="s">
        <v>1338</v>
      </c>
      <c r="B756" t="s">
        <v>68</v>
      </c>
      <c r="C756" s="2" t="s">
        <v>157</v>
      </c>
      <c r="D756" s="2" t="s">
        <v>83</v>
      </c>
      <c r="E756" s="2" t="s">
        <v>13</v>
      </c>
      <c r="F756" s="2" t="s">
        <v>14</v>
      </c>
      <c r="G756" s="3">
        <v>430</v>
      </c>
      <c r="H756" s="1" t="s">
        <v>699</v>
      </c>
      <c r="I756">
        <f t="shared" si="67"/>
        <v>10</v>
      </c>
      <c r="J756" t="str">
        <f t="shared" si="68"/>
        <v>Diwali</v>
      </c>
      <c r="K756" t="str">
        <f t="shared" si="69"/>
        <v>Promoted</v>
      </c>
      <c r="L756" t="str">
        <f t="shared" si="70"/>
        <v>Known Employee</v>
      </c>
      <c r="M756">
        <f t="shared" si="72"/>
        <v>4</v>
      </c>
      <c r="N756" t="str">
        <f t="shared" si="71"/>
        <v>October</v>
      </c>
    </row>
    <row r="757" spans="1:14" x14ac:dyDescent="0.3">
      <c r="A757" s="2" t="s">
        <v>961</v>
      </c>
      <c r="B757" t="s">
        <v>663</v>
      </c>
      <c r="C757" s="2" t="s">
        <v>18</v>
      </c>
      <c r="D757" s="2" t="s">
        <v>87</v>
      </c>
      <c r="E757" s="2" t="s">
        <v>54</v>
      </c>
      <c r="F757" s="2" t="s">
        <v>144</v>
      </c>
      <c r="G757" s="3">
        <v>170</v>
      </c>
      <c r="H757" s="1" t="s">
        <v>962</v>
      </c>
      <c r="I757">
        <f t="shared" si="67"/>
        <v>10</v>
      </c>
      <c r="J757" t="str">
        <f t="shared" si="68"/>
        <v>Diwali</v>
      </c>
      <c r="K757" t="str">
        <f t="shared" si="69"/>
        <v>Promoted</v>
      </c>
      <c r="L757" t="str">
        <f t="shared" si="70"/>
        <v>Known Employee</v>
      </c>
      <c r="M757">
        <f t="shared" si="72"/>
        <v>6</v>
      </c>
      <c r="N757" t="str">
        <f t="shared" si="71"/>
        <v>October</v>
      </c>
    </row>
    <row r="758" spans="1:14" x14ac:dyDescent="0.3">
      <c r="A758" s="2" t="s">
        <v>1404</v>
      </c>
      <c r="B758" t="s">
        <v>1191</v>
      </c>
      <c r="C758" s="2" t="s">
        <v>53</v>
      </c>
      <c r="D758" s="2" t="s">
        <v>76</v>
      </c>
      <c r="E758" s="2" t="s">
        <v>13</v>
      </c>
      <c r="F758" s="2" t="s">
        <v>65</v>
      </c>
      <c r="G758" s="3">
        <v>444</v>
      </c>
      <c r="H758" s="1" t="s">
        <v>1405</v>
      </c>
      <c r="I758">
        <f t="shared" si="67"/>
        <v>11</v>
      </c>
      <c r="J758" t="str">
        <f t="shared" si="68"/>
        <v>Diwali</v>
      </c>
      <c r="K758" t="str">
        <f t="shared" si="69"/>
        <v>Promoted</v>
      </c>
      <c r="L758" t="str">
        <f t="shared" si="70"/>
        <v>Known Employee</v>
      </c>
      <c r="M758">
        <f t="shared" si="72"/>
        <v>4</v>
      </c>
      <c r="N758" t="str">
        <f t="shared" si="71"/>
        <v>November</v>
      </c>
    </row>
    <row r="759" spans="1:14" x14ac:dyDescent="0.3">
      <c r="A759" s="2" t="s">
        <v>1390</v>
      </c>
      <c r="B759" t="s">
        <v>1391</v>
      </c>
      <c r="C759" s="2" t="s">
        <v>35</v>
      </c>
      <c r="D759" s="2" t="s">
        <v>44</v>
      </c>
      <c r="E759" s="2" t="s">
        <v>158</v>
      </c>
      <c r="F759" s="2" t="s">
        <v>25</v>
      </c>
      <c r="G759" s="3">
        <v>270.75</v>
      </c>
      <c r="H759" s="1" t="s">
        <v>693</v>
      </c>
      <c r="I759">
        <f t="shared" si="67"/>
        <v>11</v>
      </c>
      <c r="J759" t="str">
        <f t="shared" si="68"/>
        <v>Diwali</v>
      </c>
      <c r="K759" t="str">
        <f t="shared" si="69"/>
        <v>Promoted</v>
      </c>
      <c r="L759" t="str">
        <f t="shared" si="70"/>
        <v>Known Employee</v>
      </c>
      <c r="M759">
        <f t="shared" si="72"/>
        <v>1</v>
      </c>
      <c r="N759" t="str">
        <f t="shared" si="71"/>
        <v>November</v>
      </c>
    </row>
    <row r="760" spans="1:14" x14ac:dyDescent="0.3">
      <c r="A760" s="2" t="s">
        <v>692</v>
      </c>
      <c r="B760" t="s">
        <v>694</v>
      </c>
      <c r="C760" s="2" t="s">
        <v>479</v>
      </c>
      <c r="D760" s="2" t="s">
        <v>123</v>
      </c>
      <c r="E760" s="2" t="s">
        <v>13</v>
      </c>
      <c r="F760" s="2" t="s">
        <v>25</v>
      </c>
      <c r="G760" s="3">
        <v>293</v>
      </c>
      <c r="H760" s="1" t="s">
        <v>693</v>
      </c>
      <c r="I760">
        <f t="shared" si="67"/>
        <v>11</v>
      </c>
      <c r="J760" t="str">
        <f t="shared" si="68"/>
        <v>Diwali</v>
      </c>
      <c r="K760" t="str">
        <f t="shared" si="69"/>
        <v>Promoted</v>
      </c>
      <c r="L760" t="str">
        <f t="shared" si="70"/>
        <v>Known Employee</v>
      </c>
      <c r="M760">
        <f t="shared" si="72"/>
        <v>4</v>
      </c>
      <c r="N760" t="str">
        <f t="shared" si="71"/>
        <v>November</v>
      </c>
    </row>
    <row r="761" spans="1:14" x14ac:dyDescent="0.3">
      <c r="A761" s="2" t="s">
        <v>854</v>
      </c>
      <c r="B761" t="s">
        <v>856</v>
      </c>
      <c r="C761" s="2" t="s">
        <v>53</v>
      </c>
      <c r="D761" s="2" t="s">
        <v>138</v>
      </c>
      <c r="E761" s="2" t="s">
        <v>13</v>
      </c>
      <c r="F761" s="2" t="s">
        <v>14</v>
      </c>
      <c r="G761" s="3">
        <v>170</v>
      </c>
      <c r="H761" s="1" t="s">
        <v>1953</v>
      </c>
      <c r="I761">
        <f t="shared" si="67"/>
        <v>11</v>
      </c>
      <c r="J761" t="str">
        <f t="shared" si="68"/>
        <v>Diwali</v>
      </c>
      <c r="K761" t="str">
        <f t="shared" si="69"/>
        <v>Promoted</v>
      </c>
      <c r="L761" t="str">
        <f t="shared" si="70"/>
        <v>Known Employee</v>
      </c>
      <c r="M761">
        <f t="shared" si="72"/>
        <v>4</v>
      </c>
      <c r="N761" t="str">
        <f t="shared" si="71"/>
        <v>November</v>
      </c>
    </row>
    <row r="762" spans="1:14" x14ac:dyDescent="0.3">
      <c r="A762" s="2" t="s">
        <v>15</v>
      </c>
      <c r="B762" t="s">
        <v>17</v>
      </c>
      <c r="C762" s="2" t="s">
        <v>18</v>
      </c>
      <c r="D762" s="2" t="s">
        <v>19</v>
      </c>
      <c r="E762" s="2" t="s">
        <v>13</v>
      </c>
      <c r="F762" s="2" t="s">
        <v>14</v>
      </c>
      <c r="G762" s="3">
        <v>501</v>
      </c>
      <c r="H762" s="1" t="s">
        <v>1948</v>
      </c>
      <c r="I762">
        <f t="shared" si="67"/>
        <v>11</v>
      </c>
      <c r="J762" t="str">
        <f t="shared" si="68"/>
        <v>Diwali</v>
      </c>
      <c r="K762" t="str">
        <f t="shared" si="69"/>
        <v>Promoted</v>
      </c>
      <c r="L762" t="str">
        <f t="shared" si="70"/>
        <v>Known Employee</v>
      </c>
      <c r="M762">
        <f t="shared" si="72"/>
        <v>4</v>
      </c>
      <c r="N762" t="str">
        <f t="shared" si="71"/>
        <v>November</v>
      </c>
    </row>
    <row r="763" spans="1:14" x14ac:dyDescent="0.3">
      <c r="A763" s="2" t="s">
        <v>704</v>
      </c>
      <c r="B763" t="s">
        <v>706</v>
      </c>
      <c r="C763" s="2" t="s">
        <v>18</v>
      </c>
      <c r="D763" s="2" t="s">
        <v>12</v>
      </c>
      <c r="E763" s="2" t="s">
        <v>13</v>
      </c>
      <c r="F763" s="2" t="s">
        <v>40</v>
      </c>
      <c r="G763" s="3">
        <v>440</v>
      </c>
      <c r="H763" s="1" t="s">
        <v>705</v>
      </c>
      <c r="I763">
        <f t="shared" si="67"/>
        <v>11</v>
      </c>
      <c r="J763" t="str">
        <f t="shared" si="68"/>
        <v>Diwali</v>
      </c>
      <c r="K763" t="str">
        <f t="shared" si="69"/>
        <v>Promoted</v>
      </c>
      <c r="L763" t="str">
        <f t="shared" si="70"/>
        <v>Known Employee</v>
      </c>
      <c r="M763">
        <f t="shared" si="72"/>
        <v>4</v>
      </c>
      <c r="N763" t="str">
        <f t="shared" si="71"/>
        <v>November</v>
      </c>
    </row>
    <row r="764" spans="1:14" x14ac:dyDescent="0.3">
      <c r="A764" s="2" t="s">
        <v>564</v>
      </c>
      <c r="B764" t="s">
        <v>566</v>
      </c>
      <c r="C764" s="2" t="s">
        <v>29</v>
      </c>
      <c r="D764" s="2" t="s">
        <v>30</v>
      </c>
      <c r="E764" s="2" t="s">
        <v>13</v>
      </c>
      <c r="F764" s="2" t="s">
        <v>65</v>
      </c>
      <c r="G764" s="3">
        <v>589</v>
      </c>
      <c r="H764" s="1" t="s">
        <v>565</v>
      </c>
      <c r="I764">
        <f t="shared" si="67"/>
        <v>11</v>
      </c>
      <c r="J764" t="str">
        <f t="shared" si="68"/>
        <v>Diwali</v>
      </c>
      <c r="K764" t="str">
        <f t="shared" si="69"/>
        <v>Promoted</v>
      </c>
      <c r="L764" t="str">
        <f t="shared" si="70"/>
        <v>Known Employee</v>
      </c>
      <c r="M764">
        <f t="shared" si="72"/>
        <v>3</v>
      </c>
      <c r="N764" t="str">
        <f t="shared" si="71"/>
        <v>November</v>
      </c>
    </row>
    <row r="765" spans="1:14" x14ac:dyDescent="0.3">
      <c r="A765" s="2" t="s">
        <v>1060</v>
      </c>
      <c r="B765" t="s">
        <v>152</v>
      </c>
      <c r="C765" s="2" t="s">
        <v>53</v>
      </c>
      <c r="D765" s="2" t="s">
        <v>1945</v>
      </c>
      <c r="E765" s="2" t="s">
        <v>158</v>
      </c>
      <c r="F765" s="2" t="s">
        <v>40</v>
      </c>
      <c r="G765" s="3">
        <v>104.5</v>
      </c>
      <c r="H765" s="1" t="s">
        <v>1061</v>
      </c>
      <c r="I765">
        <f t="shared" si="67"/>
        <v>11</v>
      </c>
      <c r="J765" t="str">
        <f t="shared" si="68"/>
        <v>Diwali</v>
      </c>
      <c r="K765" t="str">
        <f t="shared" si="69"/>
        <v>Promoted</v>
      </c>
      <c r="L765" t="str">
        <f t="shared" si="70"/>
        <v>Employee</v>
      </c>
      <c r="M765">
        <f t="shared" si="72"/>
        <v>4</v>
      </c>
      <c r="N765" t="str">
        <f t="shared" si="71"/>
        <v>November</v>
      </c>
    </row>
    <row r="766" spans="1:14" x14ac:dyDescent="0.3">
      <c r="A766" s="2" t="s">
        <v>780</v>
      </c>
      <c r="B766" t="s">
        <v>28</v>
      </c>
      <c r="C766" s="2" t="s">
        <v>35</v>
      </c>
      <c r="D766" s="2" t="s">
        <v>340</v>
      </c>
      <c r="E766" s="2" t="s">
        <v>13</v>
      </c>
      <c r="F766" s="2" t="s">
        <v>65</v>
      </c>
      <c r="G766" s="3">
        <v>317</v>
      </c>
      <c r="H766" s="1" t="s">
        <v>781</v>
      </c>
      <c r="I766">
        <f t="shared" si="67"/>
        <v>11</v>
      </c>
      <c r="J766" t="str">
        <f t="shared" si="68"/>
        <v>Diwali</v>
      </c>
      <c r="K766" t="str">
        <f t="shared" si="69"/>
        <v>Promoted</v>
      </c>
      <c r="L766" t="str">
        <f t="shared" si="70"/>
        <v>Known Employee</v>
      </c>
      <c r="M766">
        <f t="shared" si="72"/>
        <v>4</v>
      </c>
      <c r="N766" t="str">
        <f t="shared" si="71"/>
        <v>November</v>
      </c>
    </row>
    <row r="767" spans="1:14" x14ac:dyDescent="0.3">
      <c r="A767" s="2" t="s">
        <v>1664</v>
      </c>
      <c r="B767" t="s">
        <v>406</v>
      </c>
      <c r="C767" s="2" t="s">
        <v>18</v>
      </c>
      <c r="D767" s="2" t="s">
        <v>295</v>
      </c>
      <c r="E767" s="2" t="s">
        <v>13</v>
      </c>
      <c r="F767" s="2" t="s">
        <v>25</v>
      </c>
      <c r="G767" s="3">
        <v>355</v>
      </c>
      <c r="H767" s="1" t="s">
        <v>1665</v>
      </c>
      <c r="I767">
        <f t="shared" si="67"/>
        <v>11</v>
      </c>
      <c r="J767" t="str">
        <f t="shared" si="68"/>
        <v>Diwali</v>
      </c>
      <c r="K767" t="str">
        <f t="shared" si="69"/>
        <v>Promoted</v>
      </c>
      <c r="L767" t="str">
        <f t="shared" si="70"/>
        <v>Known Employee</v>
      </c>
      <c r="M767">
        <f t="shared" si="72"/>
        <v>4</v>
      </c>
      <c r="N767" t="str">
        <f t="shared" si="71"/>
        <v>November</v>
      </c>
    </row>
    <row r="768" spans="1:14" x14ac:dyDescent="0.3">
      <c r="A768" s="2" t="s">
        <v>1217</v>
      </c>
      <c r="B768" t="s">
        <v>71</v>
      </c>
      <c r="C768" s="2" t="s">
        <v>35</v>
      </c>
      <c r="D768" s="2" t="s">
        <v>340</v>
      </c>
      <c r="E768" s="2" t="s">
        <v>13</v>
      </c>
      <c r="F768" s="2" t="s">
        <v>40</v>
      </c>
      <c r="G768" s="3">
        <v>535</v>
      </c>
      <c r="H768" s="1" t="s">
        <v>1960</v>
      </c>
      <c r="I768">
        <f t="shared" si="67"/>
        <v>11</v>
      </c>
      <c r="J768" t="str">
        <f t="shared" si="68"/>
        <v>Diwali</v>
      </c>
      <c r="K768" t="str">
        <f t="shared" si="69"/>
        <v>Promoted</v>
      </c>
      <c r="L768" t="str">
        <f t="shared" si="70"/>
        <v>Known Employee</v>
      </c>
      <c r="M768">
        <f t="shared" si="72"/>
        <v>4</v>
      </c>
      <c r="N768" t="str">
        <f t="shared" si="71"/>
        <v>November</v>
      </c>
    </row>
    <row r="769" spans="1:14" x14ac:dyDescent="0.3">
      <c r="A769" s="2" t="s">
        <v>973</v>
      </c>
      <c r="B769" t="s">
        <v>975</v>
      </c>
      <c r="C769" s="2" t="s">
        <v>53</v>
      </c>
      <c r="D769" s="2" t="s">
        <v>83</v>
      </c>
      <c r="E769" s="2" t="s">
        <v>158</v>
      </c>
      <c r="F769" s="2" t="s">
        <v>25</v>
      </c>
      <c r="G769" s="3">
        <v>266</v>
      </c>
      <c r="H769" s="1" t="s">
        <v>974</v>
      </c>
      <c r="I769">
        <f t="shared" si="67"/>
        <v>11</v>
      </c>
      <c r="J769" t="str">
        <f t="shared" si="68"/>
        <v>Diwali</v>
      </c>
      <c r="K769" t="str">
        <f t="shared" si="69"/>
        <v>Promoted</v>
      </c>
      <c r="L769" t="str">
        <f t="shared" si="70"/>
        <v>Known Employee</v>
      </c>
      <c r="M769">
        <f t="shared" si="72"/>
        <v>4</v>
      </c>
      <c r="N769" t="str">
        <f t="shared" si="71"/>
        <v>November</v>
      </c>
    </row>
    <row r="770" spans="1:14" x14ac:dyDescent="0.3">
      <c r="A770" s="2" t="s">
        <v>567</v>
      </c>
      <c r="B770" t="s">
        <v>34</v>
      </c>
      <c r="C770" s="2" t="s">
        <v>29</v>
      </c>
      <c r="D770" s="2" t="s">
        <v>30</v>
      </c>
      <c r="E770" s="2" t="s">
        <v>13</v>
      </c>
      <c r="F770" s="2" t="s">
        <v>25</v>
      </c>
      <c r="G770" s="3">
        <v>240</v>
      </c>
      <c r="H770" s="1" t="s">
        <v>568</v>
      </c>
      <c r="I770">
        <f t="shared" ref="I770:I805" si="73">MONTH(H770)</f>
        <v>11</v>
      </c>
      <c r="J770" t="str">
        <f t="shared" ref="J770:J805" si="74">IF(OR(I770=10,I770=11),"Diwali",IF(I770=9,"Navratri",IF(I770=8,"Rakshabandhan",IF(I770=3,"Holi",IF(I770=1,"Makar Sankranti","Regular")))))</f>
        <v>Diwali</v>
      </c>
      <c r="K770" t="str">
        <f t="shared" ref="K770:K805" si="75" xml:space="preserve"> IF(E770="No Promotion", "Not Promoted", "Promoted")</f>
        <v>Promoted</v>
      </c>
      <c r="L770" t="str">
        <f t="shared" ref="L770:L805" si="76" xml:space="preserve"> IF(D770="Unknown","Employee","Known Employee")</f>
        <v>Known Employee</v>
      </c>
      <c r="M770">
        <f t="shared" si="72"/>
        <v>4</v>
      </c>
      <c r="N770" t="str">
        <f t="shared" si="71"/>
        <v>November</v>
      </c>
    </row>
    <row r="771" spans="1:14" x14ac:dyDescent="0.3">
      <c r="A771" s="2" t="s">
        <v>1169</v>
      </c>
      <c r="B771" t="s">
        <v>975</v>
      </c>
      <c r="C771" s="2" t="s">
        <v>53</v>
      </c>
      <c r="D771" s="2" t="s">
        <v>118</v>
      </c>
      <c r="E771" s="2" t="s">
        <v>13</v>
      </c>
      <c r="F771" s="2" t="s">
        <v>25</v>
      </c>
      <c r="G771" s="3">
        <v>660</v>
      </c>
      <c r="H771" s="1" t="s">
        <v>568</v>
      </c>
      <c r="I771">
        <f t="shared" si="73"/>
        <v>11</v>
      </c>
      <c r="J771" t="str">
        <f t="shared" si="74"/>
        <v>Diwali</v>
      </c>
      <c r="K771" t="str">
        <f t="shared" si="75"/>
        <v>Promoted</v>
      </c>
      <c r="L771" t="str">
        <f t="shared" si="76"/>
        <v>Known Employee</v>
      </c>
      <c r="M771">
        <f t="shared" si="72"/>
        <v>4</v>
      </c>
      <c r="N771" t="str">
        <f t="shared" ref="N771:N805" si="77">TEXT(DATE(2000, I771, 1), "mmmm")</f>
        <v>November</v>
      </c>
    </row>
    <row r="772" spans="1:14" x14ac:dyDescent="0.3">
      <c r="A772" s="2" t="s">
        <v>1745</v>
      </c>
      <c r="B772" t="s">
        <v>872</v>
      </c>
      <c r="C772" s="2" t="s">
        <v>18</v>
      </c>
      <c r="D772" s="2" t="s">
        <v>12</v>
      </c>
      <c r="E772" s="2" t="s">
        <v>54</v>
      </c>
      <c r="F772" s="2" t="s">
        <v>25</v>
      </c>
      <c r="G772" s="3">
        <v>472.6</v>
      </c>
      <c r="H772" s="1" t="s">
        <v>977</v>
      </c>
      <c r="I772">
        <f t="shared" si="73"/>
        <v>11</v>
      </c>
      <c r="J772" t="str">
        <f t="shared" si="74"/>
        <v>Diwali</v>
      </c>
      <c r="K772" t="str">
        <f t="shared" si="75"/>
        <v>Promoted</v>
      </c>
      <c r="L772" t="str">
        <f t="shared" si="76"/>
        <v>Known Employee</v>
      </c>
      <c r="M772">
        <f t="shared" si="72"/>
        <v>6</v>
      </c>
      <c r="N772" t="str">
        <f t="shared" si="77"/>
        <v>November</v>
      </c>
    </row>
    <row r="773" spans="1:14" x14ac:dyDescent="0.3">
      <c r="A773" s="2" t="s">
        <v>1321</v>
      </c>
      <c r="B773" t="s">
        <v>437</v>
      </c>
      <c r="C773" s="2" t="s">
        <v>35</v>
      </c>
      <c r="D773" s="2" t="s">
        <v>44</v>
      </c>
      <c r="E773" s="2" t="s">
        <v>13</v>
      </c>
      <c r="F773" s="2" t="s">
        <v>14</v>
      </c>
      <c r="G773" s="3">
        <v>513</v>
      </c>
      <c r="H773" s="1" t="s">
        <v>622</v>
      </c>
      <c r="I773">
        <f t="shared" si="73"/>
        <v>11</v>
      </c>
      <c r="J773" t="str">
        <f t="shared" si="74"/>
        <v>Diwali</v>
      </c>
      <c r="K773" t="str">
        <f t="shared" si="75"/>
        <v>Promoted</v>
      </c>
      <c r="L773" t="str">
        <f t="shared" si="76"/>
        <v>Known Employee</v>
      </c>
      <c r="M773">
        <f t="shared" si="72"/>
        <v>5</v>
      </c>
      <c r="N773" t="str">
        <f t="shared" si="77"/>
        <v>November</v>
      </c>
    </row>
    <row r="774" spans="1:14" x14ac:dyDescent="0.3">
      <c r="A774" s="2" t="s">
        <v>1497</v>
      </c>
      <c r="B774" t="s">
        <v>75</v>
      </c>
      <c r="C774" s="2" t="s">
        <v>29</v>
      </c>
      <c r="D774" s="2" t="s">
        <v>49</v>
      </c>
      <c r="E774" s="2" t="s">
        <v>1946</v>
      </c>
      <c r="F774" s="2" t="s">
        <v>1945</v>
      </c>
      <c r="G774" s="3">
        <v>499</v>
      </c>
      <c r="H774" s="1" t="s">
        <v>1498</v>
      </c>
      <c r="I774">
        <f t="shared" si="73"/>
        <v>11</v>
      </c>
      <c r="J774" t="str">
        <f t="shared" si="74"/>
        <v>Diwali</v>
      </c>
      <c r="K774" t="str">
        <f t="shared" si="75"/>
        <v>Not Promoted</v>
      </c>
      <c r="L774" t="str">
        <f t="shared" si="76"/>
        <v>Known Employee</v>
      </c>
      <c r="M774">
        <f t="shared" si="72"/>
        <v>7</v>
      </c>
      <c r="N774" t="str">
        <f t="shared" si="77"/>
        <v>November</v>
      </c>
    </row>
    <row r="775" spans="1:14" x14ac:dyDescent="0.3">
      <c r="A775" s="2" t="s">
        <v>726</v>
      </c>
      <c r="B775" t="s">
        <v>728</v>
      </c>
      <c r="C775" s="2" t="s">
        <v>29</v>
      </c>
      <c r="D775" s="2" t="s">
        <v>30</v>
      </c>
      <c r="E775" s="2" t="s">
        <v>13</v>
      </c>
      <c r="F775" s="2" t="s">
        <v>65</v>
      </c>
      <c r="G775" s="3">
        <v>455</v>
      </c>
      <c r="H775" s="1" t="s">
        <v>727</v>
      </c>
      <c r="I775">
        <f t="shared" si="73"/>
        <v>11</v>
      </c>
      <c r="J775" t="str">
        <f t="shared" si="74"/>
        <v>Diwali</v>
      </c>
      <c r="K775" t="str">
        <f t="shared" si="75"/>
        <v>Promoted</v>
      </c>
      <c r="L775" t="str">
        <f t="shared" si="76"/>
        <v>Known Employee</v>
      </c>
      <c r="M775">
        <f t="shared" si="72"/>
        <v>1</v>
      </c>
      <c r="N775" t="str">
        <f t="shared" si="77"/>
        <v>November</v>
      </c>
    </row>
    <row r="776" spans="1:14" x14ac:dyDescent="0.3">
      <c r="A776" s="2" t="s">
        <v>1689</v>
      </c>
      <c r="B776" t="s">
        <v>437</v>
      </c>
      <c r="C776" s="2" t="s">
        <v>53</v>
      </c>
      <c r="D776" s="2" t="s">
        <v>83</v>
      </c>
      <c r="E776" s="2" t="s">
        <v>24</v>
      </c>
      <c r="F776" s="2" t="s">
        <v>1945</v>
      </c>
      <c r="G776" s="3">
        <v>45</v>
      </c>
      <c r="H776" s="1" t="s">
        <v>727</v>
      </c>
      <c r="I776">
        <f t="shared" si="73"/>
        <v>11</v>
      </c>
      <c r="J776" t="str">
        <f t="shared" si="74"/>
        <v>Diwali</v>
      </c>
      <c r="K776" t="str">
        <f t="shared" si="75"/>
        <v>Promoted</v>
      </c>
      <c r="L776" t="str">
        <f t="shared" si="76"/>
        <v>Known Employee</v>
      </c>
      <c r="M776">
        <f t="shared" si="72"/>
        <v>5</v>
      </c>
      <c r="N776" t="str">
        <f t="shared" si="77"/>
        <v>November</v>
      </c>
    </row>
    <row r="777" spans="1:14" x14ac:dyDescent="0.3">
      <c r="A777" s="2" t="s">
        <v>1742</v>
      </c>
      <c r="B777" t="s">
        <v>86</v>
      </c>
      <c r="C777" s="2" t="s">
        <v>53</v>
      </c>
      <c r="D777" s="2" t="s">
        <v>1945</v>
      </c>
      <c r="E777" s="2" t="s">
        <v>24</v>
      </c>
      <c r="F777" s="2" t="s">
        <v>65</v>
      </c>
      <c r="G777" s="3">
        <v>225</v>
      </c>
      <c r="H777" s="1" t="s">
        <v>952</v>
      </c>
      <c r="I777">
        <f t="shared" si="73"/>
        <v>12</v>
      </c>
      <c r="J777" t="str">
        <f t="shared" si="74"/>
        <v>Regular</v>
      </c>
      <c r="K777" t="str">
        <f t="shared" si="75"/>
        <v>Promoted</v>
      </c>
      <c r="L777" t="str">
        <f t="shared" si="76"/>
        <v>Employee</v>
      </c>
      <c r="M777">
        <f t="shared" si="72"/>
        <v>5</v>
      </c>
      <c r="N777" t="str">
        <f t="shared" si="77"/>
        <v>December</v>
      </c>
    </row>
    <row r="778" spans="1:14" x14ac:dyDescent="0.3">
      <c r="A778" s="2" t="s">
        <v>1704</v>
      </c>
      <c r="B778" t="s">
        <v>988</v>
      </c>
      <c r="C778" s="2" t="s">
        <v>35</v>
      </c>
      <c r="D778" s="2" t="s">
        <v>44</v>
      </c>
      <c r="E778" s="2" t="s">
        <v>13</v>
      </c>
      <c r="F778" s="2" t="s">
        <v>25</v>
      </c>
      <c r="G778" s="3">
        <v>441</v>
      </c>
      <c r="H778" s="1" t="s">
        <v>1705</v>
      </c>
      <c r="I778">
        <f t="shared" si="73"/>
        <v>12</v>
      </c>
      <c r="J778" t="str">
        <f t="shared" si="74"/>
        <v>Regular</v>
      </c>
      <c r="K778" t="str">
        <f t="shared" si="75"/>
        <v>Promoted</v>
      </c>
      <c r="L778" t="str">
        <f t="shared" si="76"/>
        <v>Known Employee</v>
      </c>
      <c r="M778">
        <f t="shared" ref="M778:M805" si="78">COUNTIF($B$1:$B$805, B778)</f>
        <v>3</v>
      </c>
      <c r="N778" t="str">
        <f t="shared" si="77"/>
        <v>December</v>
      </c>
    </row>
    <row r="779" spans="1:14" x14ac:dyDescent="0.3">
      <c r="A779" s="2" t="s">
        <v>870</v>
      </c>
      <c r="B779" t="s">
        <v>872</v>
      </c>
      <c r="C779" s="2" t="s">
        <v>29</v>
      </c>
      <c r="D779" s="2" t="s">
        <v>168</v>
      </c>
      <c r="E779" s="2" t="s">
        <v>13</v>
      </c>
      <c r="F779" s="2" t="s">
        <v>119</v>
      </c>
      <c r="G779" s="3">
        <v>60</v>
      </c>
      <c r="H779" s="1" t="s">
        <v>871</v>
      </c>
      <c r="I779">
        <f t="shared" si="73"/>
        <v>12</v>
      </c>
      <c r="J779" t="str">
        <f t="shared" si="74"/>
        <v>Regular</v>
      </c>
      <c r="K779" t="str">
        <f t="shared" si="75"/>
        <v>Promoted</v>
      </c>
      <c r="L779" t="str">
        <f t="shared" si="76"/>
        <v>Known Employee</v>
      </c>
      <c r="M779">
        <f t="shared" si="78"/>
        <v>6</v>
      </c>
      <c r="N779" t="str">
        <f t="shared" si="77"/>
        <v>December</v>
      </c>
    </row>
    <row r="780" spans="1:14" x14ac:dyDescent="0.3">
      <c r="A780" s="2" t="s">
        <v>1173</v>
      </c>
      <c r="B780" t="s">
        <v>663</v>
      </c>
      <c r="C780" s="2" t="s">
        <v>29</v>
      </c>
      <c r="D780" s="2" t="s">
        <v>123</v>
      </c>
      <c r="E780" s="2" t="s">
        <v>13</v>
      </c>
      <c r="F780" s="2" t="s">
        <v>40</v>
      </c>
      <c r="G780" s="3">
        <v>348</v>
      </c>
      <c r="H780" s="1" t="s">
        <v>1174</v>
      </c>
      <c r="I780">
        <f t="shared" si="73"/>
        <v>12</v>
      </c>
      <c r="J780" t="str">
        <f t="shared" si="74"/>
        <v>Regular</v>
      </c>
      <c r="K780" t="str">
        <f t="shared" si="75"/>
        <v>Promoted</v>
      </c>
      <c r="L780" t="str">
        <f t="shared" si="76"/>
        <v>Known Employee</v>
      </c>
      <c r="M780">
        <f t="shared" si="78"/>
        <v>6</v>
      </c>
      <c r="N780" t="str">
        <f t="shared" si="77"/>
        <v>December</v>
      </c>
    </row>
    <row r="781" spans="1:14" x14ac:dyDescent="0.3">
      <c r="A781" s="2" t="s">
        <v>178</v>
      </c>
      <c r="B781" t="s">
        <v>180</v>
      </c>
      <c r="C781" s="2" t="s">
        <v>29</v>
      </c>
      <c r="D781" s="2" t="s">
        <v>123</v>
      </c>
      <c r="E781" s="2" t="s">
        <v>13</v>
      </c>
      <c r="F781" s="2" t="s">
        <v>14</v>
      </c>
      <c r="G781" s="3">
        <v>579</v>
      </c>
      <c r="H781" s="1" t="s">
        <v>179</v>
      </c>
      <c r="I781">
        <f t="shared" si="73"/>
        <v>12</v>
      </c>
      <c r="J781" t="str">
        <f t="shared" si="74"/>
        <v>Regular</v>
      </c>
      <c r="K781" t="str">
        <f t="shared" si="75"/>
        <v>Promoted</v>
      </c>
      <c r="L781" t="str">
        <f t="shared" si="76"/>
        <v>Known Employee</v>
      </c>
      <c r="M781">
        <f t="shared" si="78"/>
        <v>2</v>
      </c>
      <c r="N781" t="str">
        <f t="shared" si="77"/>
        <v>December</v>
      </c>
    </row>
    <row r="782" spans="1:14" x14ac:dyDescent="0.3">
      <c r="A782" s="2" t="s">
        <v>1862</v>
      </c>
      <c r="B782" t="s">
        <v>1864</v>
      </c>
      <c r="C782" s="2" t="s">
        <v>18</v>
      </c>
      <c r="D782" s="2" t="s">
        <v>19</v>
      </c>
      <c r="E782" s="2" t="s">
        <v>158</v>
      </c>
      <c r="F782" s="2" t="s">
        <v>65</v>
      </c>
      <c r="G782" s="3">
        <v>285</v>
      </c>
      <c r="H782" s="1" t="s">
        <v>1863</v>
      </c>
      <c r="I782">
        <f t="shared" si="73"/>
        <v>12</v>
      </c>
      <c r="J782" t="str">
        <f t="shared" si="74"/>
        <v>Regular</v>
      </c>
      <c r="K782" t="str">
        <f t="shared" si="75"/>
        <v>Promoted</v>
      </c>
      <c r="L782" t="str">
        <f t="shared" si="76"/>
        <v>Known Employee</v>
      </c>
      <c r="M782">
        <f t="shared" si="78"/>
        <v>1</v>
      </c>
      <c r="N782" t="str">
        <f t="shared" si="77"/>
        <v>December</v>
      </c>
    </row>
    <row r="783" spans="1:14" x14ac:dyDescent="0.3">
      <c r="A783" s="2" t="s">
        <v>1418</v>
      </c>
      <c r="B783" t="s">
        <v>615</v>
      </c>
      <c r="C783" s="2" t="s">
        <v>18</v>
      </c>
      <c r="D783" s="2" t="s">
        <v>23</v>
      </c>
      <c r="E783" s="2" t="s">
        <v>24</v>
      </c>
      <c r="F783" s="2" t="s">
        <v>65</v>
      </c>
      <c r="G783" s="3">
        <v>594.9</v>
      </c>
      <c r="H783" s="1" t="s">
        <v>1419</v>
      </c>
      <c r="I783">
        <f t="shared" si="73"/>
        <v>12</v>
      </c>
      <c r="J783" t="str">
        <f t="shared" si="74"/>
        <v>Regular</v>
      </c>
      <c r="K783" t="str">
        <f t="shared" si="75"/>
        <v>Promoted</v>
      </c>
      <c r="L783" t="str">
        <f t="shared" si="76"/>
        <v>Known Employee</v>
      </c>
      <c r="M783">
        <f t="shared" si="78"/>
        <v>5</v>
      </c>
      <c r="N783" t="str">
        <f t="shared" si="77"/>
        <v>December</v>
      </c>
    </row>
    <row r="784" spans="1:14" x14ac:dyDescent="0.3">
      <c r="A784" s="2" t="s">
        <v>1839</v>
      </c>
      <c r="B784" t="s">
        <v>22</v>
      </c>
      <c r="C784" s="2" t="s">
        <v>35</v>
      </c>
      <c r="D784" s="2" t="s">
        <v>140</v>
      </c>
      <c r="E784" s="2" t="s">
        <v>13</v>
      </c>
      <c r="F784" s="2" t="s">
        <v>65</v>
      </c>
      <c r="G784" s="3">
        <v>165</v>
      </c>
      <c r="H784" s="1" t="s">
        <v>1419</v>
      </c>
      <c r="I784">
        <f t="shared" si="73"/>
        <v>12</v>
      </c>
      <c r="J784" t="str">
        <f t="shared" si="74"/>
        <v>Regular</v>
      </c>
      <c r="K784" t="str">
        <f t="shared" si="75"/>
        <v>Promoted</v>
      </c>
      <c r="L784" t="str">
        <f t="shared" si="76"/>
        <v>Known Employee</v>
      </c>
      <c r="M784">
        <f t="shared" si="78"/>
        <v>6</v>
      </c>
      <c r="N784" t="str">
        <f t="shared" si="77"/>
        <v>December</v>
      </c>
    </row>
    <row r="785" spans="1:14" x14ac:dyDescent="0.3">
      <c r="A785" s="2" t="s">
        <v>1511</v>
      </c>
      <c r="B785" t="s">
        <v>90</v>
      </c>
      <c r="C785" s="2" t="s">
        <v>18</v>
      </c>
      <c r="D785" s="2" t="s">
        <v>12</v>
      </c>
      <c r="E785" s="2" t="s">
        <v>13</v>
      </c>
      <c r="F785" s="2" t="s">
        <v>40</v>
      </c>
      <c r="G785" s="3">
        <v>285</v>
      </c>
      <c r="H785" s="1" t="s">
        <v>399</v>
      </c>
      <c r="I785">
        <f t="shared" si="73"/>
        <v>12</v>
      </c>
      <c r="J785" t="str">
        <f t="shared" si="74"/>
        <v>Regular</v>
      </c>
      <c r="K785" t="str">
        <f t="shared" si="75"/>
        <v>Promoted</v>
      </c>
      <c r="L785" t="str">
        <f t="shared" si="76"/>
        <v>Known Employee</v>
      </c>
      <c r="M785">
        <f t="shared" si="78"/>
        <v>3</v>
      </c>
      <c r="N785" t="str">
        <f t="shared" si="77"/>
        <v>December</v>
      </c>
    </row>
    <row r="786" spans="1:14" x14ac:dyDescent="0.3">
      <c r="A786" s="2" t="s">
        <v>478</v>
      </c>
      <c r="B786" t="s">
        <v>111</v>
      </c>
      <c r="C786" s="2" t="s">
        <v>479</v>
      </c>
      <c r="D786" s="2" t="s">
        <v>49</v>
      </c>
      <c r="E786" s="2" t="s">
        <v>13</v>
      </c>
      <c r="F786" s="2" t="s">
        <v>25</v>
      </c>
      <c r="G786" s="3">
        <v>699</v>
      </c>
      <c r="H786" s="1" t="s">
        <v>399</v>
      </c>
      <c r="I786">
        <f t="shared" si="73"/>
        <v>12</v>
      </c>
      <c r="J786" t="str">
        <f t="shared" si="74"/>
        <v>Regular</v>
      </c>
      <c r="K786" t="str">
        <f t="shared" si="75"/>
        <v>Promoted</v>
      </c>
      <c r="L786" t="str">
        <f t="shared" si="76"/>
        <v>Known Employee</v>
      </c>
      <c r="M786">
        <f t="shared" si="78"/>
        <v>4</v>
      </c>
      <c r="N786" t="str">
        <f t="shared" si="77"/>
        <v>December</v>
      </c>
    </row>
    <row r="787" spans="1:14" x14ac:dyDescent="0.3">
      <c r="A787" s="2" t="s">
        <v>398</v>
      </c>
      <c r="B787" t="s">
        <v>400</v>
      </c>
      <c r="C787" s="2" t="s">
        <v>35</v>
      </c>
      <c r="D787" s="2" t="s">
        <v>340</v>
      </c>
      <c r="E787" s="2" t="s">
        <v>54</v>
      </c>
      <c r="F787" s="2" t="s">
        <v>14</v>
      </c>
      <c r="G787" s="3">
        <v>195.5</v>
      </c>
      <c r="H787" s="1" t="s">
        <v>399</v>
      </c>
      <c r="I787">
        <f t="shared" si="73"/>
        <v>12</v>
      </c>
      <c r="J787" t="str">
        <f t="shared" si="74"/>
        <v>Regular</v>
      </c>
      <c r="K787" t="str">
        <f t="shared" si="75"/>
        <v>Promoted</v>
      </c>
      <c r="L787" t="str">
        <f t="shared" si="76"/>
        <v>Known Employee</v>
      </c>
      <c r="M787">
        <f t="shared" si="78"/>
        <v>5</v>
      </c>
      <c r="N787" t="str">
        <f t="shared" si="77"/>
        <v>December</v>
      </c>
    </row>
    <row r="788" spans="1:14" x14ac:dyDescent="0.3">
      <c r="A788" s="2" t="s">
        <v>606</v>
      </c>
      <c r="B788" t="s">
        <v>196</v>
      </c>
      <c r="C788" s="2" t="s">
        <v>29</v>
      </c>
      <c r="D788" s="2" t="s">
        <v>123</v>
      </c>
      <c r="E788" s="2" t="s">
        <v>13</v>
      </c>
      <c r="F788" s="2" t="s">
        <v>14</v>
      </c>
      <c r="G788" s="3">
        <v>270</v>
      </c>
      <c r="H788" s="1" t="s">
        <v>607</v>
      </c>
      <c r="I788">
        <f t="shared" si="73"/>
        <v>12</v>
      </c>
      <c r="J788" t="str">
        <f t="shared" si="74"/>
        <v>Regular</v>
      </c>
      <c r="K788" t="str">
        <f t="shared" si="75"/>
        <v>Promoted</v>
      </c>
      <c r="L788" t="str">
        <f t="shared" si="76"/>
        <v>Known Employee</v>
      </c>
      <c r="M788">
        <f t="shared" si="78"/>
        <v>8</v>
      </c>
      <c r="N788" t="str">
        <f t="shared" si="77"/>
        <v>December</v>
      </c>
    </row>
    <row r="789" spans="1:14" x14ac:dyDescent="0.3">
      <c r="A789" s="2" t="s">
        <v>1499</v>
      </c>
      <c r="B789" t="s">
        <v>851</v>
      </c>
      <c r="C789" s="2" t="s">
        <v>29</v>
      </c>
      <c r="D789" s="2" t="s">
        <v>168</v>
      </c>
      <c r="E789" s="2" t="s">
        <v>13</v>
      </c>
      <c r="F789" s="2" t="s">
        <v>65</v>
      </c>
      <c r="G789" s="3">
        <v>741</v>
      </c>
      <c r="H789" s="1" t="s">
        <v>1500</v>
      </c>
      <c r="I789">
        <f t="shared" si="73"/>
        <v>12</v>
      </c>
      <c r="J789" t="str">
        <f t="shared" si="74"/>
        <v>Regular</v>
      </c>
      <c r="K789" t="str">
        <f t="shared" si="75"/>
        <v>Promoted</v>
      </c>
      <c r="L789" t="str">
        <f t="shared" si="76"/>
        <v>Known Employee</v>
      </c>
      <c r="M789">
        <f t="shared" si="78"/>
        <v>6</v>
      </c>
      <c r="N789" t="str">
        <f t="shared" si="77"/>
        <v>December</v>
      </c>
    </row>
    <row r="790" spans="1:14" x14ac:dyDescent="0.3">
      <c r="A790" s="2" t="s">
        <v>739</v>
      </c>
      <c r="B790" t="s">
        <v>98</v>
      </c>
      <c r="C790" s="2" t="s">
        <v>53</v>
      </c>
      <c r="D790" s="2" t="s">
        <v>83</v>
      </c>
      <c r="E790" s="2" t="s">
        <v>13</v>
      </c>
      <c r="F790" s="2" t="s">
        <v>65</v>
      </c>
      <c r="G790" s="3">
        <v>170</v>
      </c>
      <c r="H790" s="1" t="s">
        <v>740</v>
      </c>
      <c r="I790">
        <f t="shared" si="73"/>
        <v>12</v>
      </c>
      <c r="J790" t="str">
        <f t="shared" si="74"/>
        <v>Regular</v>
      </c>
      <c r="K790" t="str">
        <f t="shared" si="75"/>
        <v>Promoted</v>
      </c>
      <c r="L790" t="str">
        <f t="shared" si="76"/>
        <v>Known Employee</v>
      </c>
      <c r="M790">
        <f t="shared" si="78"/>
        <v>5</v>
      </c>
      <c r="N790" t="str">
        <f t="shared" si="77"/>
        <v>December</v>
      </c>
    </row>
    <row r="791" spans="1:14" x14ac:dyDescent="0.3">
      <c r="A791" s="2" t="s">
        <v>422</v>
      </c>
      <c r="B791" t="s">
        <v>360</v>
      </c>
      <c r="C791" s="2" t="s">
        <v>53</v>
      </c>
      <c r="D791" s="2" t="s">
        <v>118</v>
      </c>
      <c r="E791" s="2" t="s">
        <v>54</v>
      </c>
      <c r="F791" s="2" t="s">
        <v>40</v>
      </c>
      <c r="G791" s="3">
        <v>247.35</v>
      </c>
      <c r="H791" s="1" t="s">
        <v>321</v>
      </c>
      <c r="I791">
        <f t="shared" si="73"/>
        <v>12</v>
      </c>
      <c r="J791" t="str">
        <f t="shared" si="74"/>
        <v>Regular</v>
      </c>
      <c r="K791" t="str">
        <f t="shared" si="75"/>
        <v>Promoted</v>
      </c>
      <c r="L791" t="str">
        <f t="shared" si="76"/>
        <v>Known Employee</v>
      </c>
      <c r="M791">
        <f t="shared" si="78"/>
        <v>5</v>
      </c>
      <c r="N791" t="str">
        <f t="shared" si="77"/>
        <v>December</v>
      </c>
    </row>
    <row r="792" spans="1:14" x14ac:dyDescent="0.3">
      <c r="A792" s="2" t="s">
        <v>320</v>
      </c>
      <c r="B792" t="s">
        <v>128</v>
      </c>
      <c r="C792" s="2" t="s">
        <v>35</v>
      </c>
      <c r="D792" s="2" t="s">
        <v>72</v>
      </c>
      <c r="E792" s="2" t="s">
        <v>322</v>
      </c>
      <c r="F792" s="2" t="s">
        <v>65</v>
      </c>
      <c r="G792" s="3">
        <v>256.5</v>
      </c>
      <c r="H792" s="1" t="s">
        <v>321</v>
      </c>
      <c r="I792">
        <f t="shared" si="73"/>
        <v>12</v>
      </c>
      <c r="J792" t="str">
        <f t="shared" si="74"/>
        <v>Regular</v>
      </c>
      <c r="K792" t="str">
        <f t="shared" si="75"/>
        <v>Promoted</v>
      </c>
      <c r="L792" t="str">
        <f t="shared" si="76"/>
        <v>Known Employee</v>
      </c>
      <c r="M792">
        <f t="shared" si="78"/>
        <v>2</v>
      </c>
      <c r="N792" t="str">
        <f t="shared" si="77"/>
        <v>December</v>
      </c>
    </row>
    <row r="793" spans="1:14" x14ac:dyDescent="0.3">
      <c r="A793" s="2" t="s">
        <v>99</v>
      </c>
      <c r="B793" t="s">
        <v>48</v>
      </c>
      <c r="C793" s="2" t="s">
        <v>53</v>
      </c>
      <c r="D793" s="2" t="s">
        <v>1945</v>
      </c>
      <c r="E793" s="2" t="s">
        <v>13</v>
      </c>
      <c r="F793" s="2" t="s">
        <v>1945</v>
      </c>
      <c r="G793" s="3">
        <v>620</v>
      </c>
      <c r="H793" s="1" t="s">
        <v>321</v>
      </c>
      <c r="I793">
        <f t="shared" si="73"/>
        <v>12</v>
      </c>
      <c r="J793" t="str">
        <f t="shared" si="74"/>
        <v>Regular</v>
      </c>
      <c r="K793" t="str">
        <f t="shared" si="75"/>
        <v>Promoted</v>
      </c>
      <c r="L793" t="str">
        <f t="shared" si="76"/>
        <v>Employee</v>
      </c>
      <c r="M793">
        <f t="shared" si="78"/>
        <v>4</v>
      </c>
      <c r="N793" t="str">
        <f t="shared" si="77"/>
        <v>December</v>
      </c>
    </row>
    <row r="794" spans="1:14" x14ac:dyDescent="0.3">
      <c r="A794" s="2" t="s">
        <v>145</v>
      </c>
      <c r="B794" t="s">
        <v>147</v>
      </c>
      <c r="C794" s="2" t="s">
        <v>29</v>
      </c>
      <c r="D794" s="2" t="s">
        <v>49</v>
      </c>
      <c r="E794" s="2" t="s">
        <v>13</v>
      </c>
      <c r="F794" s="2" t="s">
        <v>14</v>
      </c>
      <c r="G794" s="3">
        <v>195</v>
      </c>
      <c r="H794" s="1" t="s">
        <v>1950</v>
      </c>
      <c r="I794">
        <f t="shared" si="73"/>
        <v>12</v>
      </c>
      <c r="J794" t="str">
        <f t="shared" si="74"/>
        <v>Regular</v>
      </c>
      <c r="K794" t="str">
        <f t="shared" si="75"/>
        <v>Promoted</v>
      </c>
      <c r="L794" t="str">
        <f t="shared" si="76"/>
        <v>Known Employee</v>
      </c>
      <c r="M794">
        <f t="shared" si="78"/>
        <v>4</v>
      </c>
      <c r="N794" t="str">
        <f t="shared" si="77"/>
        <v>December</v>
      </c>
    </row>
    <row r="795" spans="1:14" x14ac:dyDescent="0.3">
      <c r="A795" s="2" t="s">
        <v>372</v>
      </c>
      <c r="B795" t="s">
        <v>171</v>
      </c>
      <c r="C795" s="2" t="s">
        <v>35</v>
      </c>
      <c r="D795" s="2" t="s">
        <v>36</v>
      </c>
      <c r="E795" s="2" t="s">
        <v>24</v>
      </c>
      <c r="F795" s="2" t="s">
        <v>65</v>
      </c>
      <c r="G795" s="3">
        <v>301.5</v>
      </c>
      <c r="H795" s="1" t="s">
        <v>373</v>
      </c>
      <c r="I795">
        <f t="shared" si="73"/>
        <v>12</v>
      </c>
      <c r="J795" t="str">
        <f t="shared" si="74"/>
        <v>Regular</v>
      </c>
      <c r="K795" t="str">
        <f t="shared" si="75"/>
        <v>Promoted</v>
      </c>
      <c r="L795" t="str">
        <f t="shared" si="76"/>
        <v>Known Employee</v>
      </c>
      <c r="M795">
        <f t="shared" si="78"/>
        <v>3</v>
      </c>
      <c r="N795" t="str">
        <f t="shared" si="77"/>
        <v>December</v>
      </c>
    </row>
    <row r="796" spans="1:14" x14ac:dyDescent="0.3">
      <c r="A796" s="2" t="s">
        <v>1392</v>
      </c>
      <c r="B796" t="s">
        <v>1077</v>
      </c>
      <c r="C796" s="2" t="s">
        <v>29</v>
      </c>
      <c r="D796" s="2" t="s">
        <v>200</v>
      </c>
      <c r="E796" s="2" t="s">
        <v>13</v>
      </c>
      <c r="F796" s="2" t="s">
        <v>14</v>
      </c>
      <c r="G796" s="3">
        <v>320</v>
      </c>
      <c r="H796" s="1" t="s">
        <v>1393</v>
      </c>
      <c r="I796">
        <f t="shared" si="73"/>
        <v>12</v>
      </c>
      <c r="J796" t="str">
        <f t="shared" si="74"/>
        <v>Regular</v>
      </c>
      <c r="K796" t="str">
        <f t="shared" si="75"/>
        <v>Promoted</v>
      </c>
      <c r="L796" t="str">
        <f t="shared" si="76"/>
        <v>Known Employee</v>
      </c>
      <c r="M796">
        <f t="shared" si="78"/>
        <v>3</v>
      </c>
      <c r="N796" t="str">
        <f t="shared" si="77"/>
        <v>December</v>
      </c>
    </row>
    <row r="797" spans="1:14" x14ac:dyDescent="0.3">
      <c r="A797" s="2" t="s">
        <v>583</v>
      </c>
      <c r="B797" t="s">
        <v>584</v>
      </c>
      <c r="C797" s="2" t="s">
        <v>53</v>
      </c>
      <c r="D797" s="2" t="s">
        <v>118</v>
      </c>
      <c r="E797" s="2" t="s">
        <v>13</v>
      </c>
      <c r="F797" s="2" t="s">
        <v>40</v>
      </c>
      <c r="G797" s="3">
        <v>100</v>
      </c>
      <c r="H797" s="1" t="s">
        <v>205</v>
      </c>
      <c r="I797">
        <f t="shared" si="73"/>
        <v>1</v>
      </c>
      <c r="J797" t="str">
        <f t="shared" si="74"/>
        <v>Makar Sankranti</v>
      </c>
      <c r="K797" t="str">
        <f t="shared" si="75"/>
        <v>Promoted</v>
      </c>
      <c r="L797" t="str">
        <f t="shared" si="76"/>
        <v>Known Employee</v>
      </c>
      <c r="M797">
        <f t="shared" si="78"/>
        <v>1</v>
      </c>
      <c r="N797" t="str">
        <f t="shared" si="77"/>
        <v>January</v>
      </c>
    </row>
    <row r="798" spans="1:14" x14ac:dyDescent="0.3">
      <c r="A798" s="2" t="s">
        <v>1193</v>
      </c>
      <c r="B798" t="s">
        <v>43</v>
      </c>
      <c r="C798" s="2" t="s">
        <v>18</v>
      </c>
      <c r="D798" s="2" t="s">
        <v>87</v>
      </c>
      <c r="E798" s="2" t="s">
        <v>13</v>
      </c>
      <c r="F798" s="2" t="s">
        <v>25</v>
      </c>
      <c r="G798" s="3">
        <v>65</v>
      </c>
      <c r="H798" s="1" t="s">
        <v>205</v>
      </c>
      <c r="I798">
        <f t="shared" si="73"/>
        <v>1</v>
      </c>
      <c r="J798" t="str">
        <f t="shared" si="74"/>
        <v>Makar Sankranti</v>
      </c>
      <c r="K798" t="str">
        <f t="shared" si="75"/>
        <v>Promoted</v>
      </c>
      <c r="L798" t="str">
        <f t="shared" si="76"/>
        <v>Known Employee</v>
      </c>
      <c r="M798">
        <f t="shared" si="78"/>
        <v>3</v>
      </c>
      <c r="N798" t="str">
        <f t="shared" si="77"/>
        <v>January</v>
      </c>
    </row>
    <row r="799" spans="1:14" x14ac:dyDescent="0.3">
      <c r="A799" s="2" t="s">
        <v>732</v>
      </c>
      <c r="B799" t="s">
        <v>534</v>
      </c>
      <c r="C799" s="2" t="s">
        <v>53</v>
      </c>
      <c r="D799" s="2" t="s">
        <v>76</v>
      </c>
      <c r="E799" s="2" t="s">
        <v>24</v>
      </c>
      <c r="F799" s="2" t="s">
        <v>14</v>
      </c>
      <c r="G799" s="3">
        <v>713.7</v>
      </c>
      <c r="H799" s="1" t="s">
        <v>733</v>
      </c>
      <c r="I799">
        <f t="shared" si="73"/>
        <v>1</v>
      </c>
      <c r="J799" t="str">
        <f t="shared" si="74"/>
        <v>Makar Sankranti</v>
      </c>
      <c r="K799" t="str">
        <f t="shared" si="75"/>
        <v>Promoted</v>
      </c>
      <c r="L799" t="str">
        <f t="shared" si="76"/>
        <v>Known Employee</v>
      </c>
      <c r="M799">
        <f t="shared" si="78"/>
        <v>5</v>
      </c>
      <c r="N799" t="str">
        <f t="shared" si="77"/>
        <v>January</v>
      </c>
    </row>
    <row r="800" spans="1:14" x14ac:dyDescent="0.3">
      <c r="A800" s="2" t="s">
        <v>993</v>
      </c>
      <c r="B800" t="s">
        <v>188</v>
      </c>
      <c r="C800" s="2" t="s">
        <v>35</v>
      </c>
      <c r="D800" s="2" t="s">
        <v>140</v>
      </c>
      <c r="E800" s="2" t="s">
        <v>13</v>
      </c>
      <c r="F800" s="2" t="s">
        <v>25</v>
      </c>
      <c r="G800" s="3">
        <v>110</v>
      </c>
      <c r="H800" s="1" t="s">
        <v>994</v>
      </c>
      <c r="I800">
        <f t="shared" si="73"/>
        <v>1</v>
      </c>
      <c r="J800" t="str">
        <f t="shared" si="74"/>
        <v>Makar Sankranti</v>
      </c>
      <c r="K800" t="str">
        <f t="shared" si="75"/>
        <v>Promoted</v>
      </c>
      <c r="L800" t="str">
        <f t="shared" si="76"/>
        <v>Known Employee</v>
      </c>
      <c r="M800">
        <f t="shared" si="78"/>
        <v>5</v>
      </c>
      <c r="N800" t="str">
        <f t="shared" si="77"/>
        <v>January</v>
      </c>
    </row>
    <row r="801" spans="1:14" x14ac:dyDescent="0.3">
      <c r="A801" s="2" t="s">
        <v>836</v>
      </c>
      <c r="B801" t="s">
        <v>503</v>
      </c>
      <c r="C801" s="2" t="s">
        <v>18</v>
      </c>
      <c r="D801" s="2" t="s">
        <v>87</v>
      </c>
      <c r="E801" s="2" t="s">
        <v>13</v>
      </c>
      <c r="F801" s="2" t="s">
        <v>14</v>
      </c>
      <c r="G801" s="3">
        <v>110</v>
      </c>
      <c r="H801" s="1" t="s">
        <v>837</v>
      </c>
      <c r="I801">
        <f t="shared" si="73"/>
        <v>1</v>
      </c>
      <c r="J801" t="str">
        <f t="shared" si="74"/>
        <v>Makar Sankranti</v>
      </c>
      <c r="K801" t="str">
        <f t="shared" si="75"/>
        <v>Promoted</v>
      </c>
      <c r="L801" t="str">
        <f t="shared" si="76"/>
        <v>Known Employee</v>
      </c>
      <c r="M801">
        <f t="shared" si="78"/>
        <v>5</v>
      </c>
      <c r="N801" t="str">
        <f t="shared" si="77"/>
        <v>January</v>
      </c>
    </row>
    <row r="802" spans="1:14" x14ac:dyDescent="0.3">
      <c r="A802" s="2" t="s">
        <v>1238</v>
      </c>
      <c r="B802" t="s">
        <v>425</v>
      </c>
      <c r="C802" s="2" t="s">
        <v>35</v>
      </c>
      <c r="D802" s="2" t="s">
        <v>44</v>
      </c>
      <c r="E802" s="2" t="s">
        <v>13</v>
      </c>
      <c r="F802" s="2" t="s">
        <v>14</v>
      </c>
      <c r="G802" s="3">
        <v>225</v>
      </c>
      <c r="H802" s="1" t="s">
        <v>1239</v>
      </c>
      <c r="I802">
        <f t="shared" si="73"/>
        <v>1</v>
      </c>
      <c r="J802" t="str">
        <f t="shared" si="74"/>
        <v>Makar Sankranti</v>
      </c>
      <c r="K802" t="str">
        <f t="shared" si="75"/>
        <v>Promoted</v>
      </c>
      <c r="L802" t="str">
        <f t="shared" si="76"/>
        <v>Known Employee</v>
      </c>
      <c r="M802">
        <f t="shared" si="78"/>
        <v>7</v>
      </c>
      <c r="N802" t="str">
        <f t="shared" si="77"/>
        <v>January</v>
      </c>
    </row>
    <row r="803" spans="1:14" x14ac:dyDescent="0.3">
      <c r="A803" s="2" t="s">
        <v>323</v>
      </c>
      <c r="B803" t="s">
        <v>325</v>
      </c>
      <c r="C803" s="2" t="s">
        <v>29</v>
      </c>
      <c r="D803" s="2" t="s">
        <v>30</v>
      </c>
      <c r="E803" s="2" t="s">
        <v>1946</v>
      </c>
      <c r="F803" s="2" t="s">
        <v>40</v>
      </c>
      <c r="G803" s="3">
        <v>485</v>
      </c>
      <c r="H803" s="1" t="s">
        <v>324</v>
      </c>
      <c r="I803">
        <f t="shared" si="73"/>
        <v>1</v>
      </c>
      <c r="J803" t="str">
        <f t="shared" si="74"/>
        <v>Makar Sankranti</v>
      </c>
      <c r="K803" t="str">
        <f t="shared" si="75"/>
        <v>Not Promoted</v>
      </c>
      <c r="L803" t="str">
        <f t="shared" si="76"/>
        <v>Known Employee</v>
      </c>
      <c r="M803">
        <f t="shared" si="78"/>
        <v>4</v>
      </c>
      <c r="N803" t="str">
        <f t="shared" si="77"/>
        <v>January</v>
      </c>
    </row>
    <row r="804" spans="1:14" x14ac:dyDescent="0.3">
      <c r="A804" s="2" t="s">
        <v>1898</v>
      </c>
      <c r="B804" t="s">
        <v>587</v>
      </c>
      <c r="C804" s="2" t="s">
        <v>18</v>
      </c>
      <c r="D804" s="2" t="s">
        <v>87</v>
      </c>
      <c r="E804" s="2" t="s">
        <v>13</v>
      </c>
      <c r="F804" s="2" t="s">
        <v>65</v>
      </c>
      <c r="G804" s="3">
        <v>590</v>
      </c>
      <c r="H804" s="1" t="s">
        <v>324</v>
      </c>
      <c r="I804">
        <f t="shared" si="73"/>
        <v>1</v>
      </c>
      <c r="J804" t="str">
        <f t="shared" si="74"/>
        <v>Makar Sankranti</v>
      </c>
      <c r="K804" t="str">
        <f t="shared" si="75"/>
        <v>Promoted</v>
      </c>
      <c r="L804" t="str">
        <f t="shared" si="76"/>
        <v>Known Employee</v>
      </c>
      <c r="M804">
        <f t="shared" si="78"/>
        <v>4</v>
      </c>
      <c r="N804" t="str">
        <f t="shared" si="77"/>
        <v>January</v>
      </c>
    </row>
    <row r="805" spans="1:14" x14ac:dyDescent="0.3">
      <c r="A805" s="2" t="s">
        <v>1119</v>
      </c>
      <c r="B805" t="s">
        <v>872</v>
      </c>
      <c r="C805" s="2" t="s">
        <v>29</v>
      </c>
      <c r="D805" s="2" t="s">
        <v>200</v>
      </c>
      <c r="E805" s="2" t="s">
        <v>158</v>
      </c>
      <c r="F805" s="2" t="s">
        <v>14</v>
      </c>
      <c r="G805" s="3">
        <v>137.75</v>
      </c>
      <c r="H805" s="1" t="s">
        <v>1120</v>
      </c>
      <c r="I805">
        <f t="shared" si="73"/>
        <v>1</v>
      </c>
      <c r="J805" t="str">
        <f t="shared" si="74"/>
        <v>Makar Sankranti</v>
      </c>
      <c r="K805" t="str">
        <f t="shared" si="75"/>
        <v>Promoted</v>
      </c>
      <c r="L805" t="str">
        <f t="shared" si="76"/>
        <v>Known Employee</v>
      </c>
      <c r="M805">
        <f t="shared" si="78"/>
        <v>6</v>
      </c>
      <c r="N805" t="str">
        <f t="shared" si="77"/>
        <v>January</v>
      </c>
    </row>
  </sheetData>
  <conditionalFormatting sqref="A1:A805">
    <cfRule type="duplicateValues" dxfId="1" priority="2"/>
    <cfRule type="duplicateValues" dxfId="0" priority="5"/>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Sales_Transactions</vt:lpstr>
      <vt:lpstr>Highest Sesonal Sale</vt:lpstr>
      <vt:lpstr>sum amount</vt:lpstr>
      <vt:lpstr>Store contribution</vt:lpstr>
      <vt:lpstr>Employee type</vt:lpstr>
      <vt:lpstr>promo vs noprom</vt:lpstr>
      <vt:lpstr>most valuable custo</vt:lpstr>
      <vt:lpstr>promotion impact</vt:lpstr>
      <vt:lpstr>Dashboard</vt:lpstr>
      <vt:lpstr>monthly_sales</vt:lpstr>
      <vt:lpstr>Transaction_working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saroj mali</cp:lastModifiedBy>
  <dcterms:modified xsi:type="dcterms:W3CDTF">2026-01-25T16:27:11Z</dcterms:modified>
</cp:coreProperties>
</file>